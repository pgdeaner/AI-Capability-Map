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628cc1627804b4b/Documents/"/>
    </mc:Choice>
  </mc:AlternateContent>
  <xr:revisionPtr revIDLastSave="0" documentId="8_{3F69A5E8-B208-4E44-81C9-CB0A553AA66C}" xr6:coauthVersionLast="47" xr6:coauthVersionMax="47" xr10:uidLastSave="{00000000-0000-0000-0000-000000000000}"/>
  <bookViews>
    <workbookView xWindow="20700" yWindow="1725" windowWidth="29445" windowHeight="18435" xr2:uid="{DC6190FD-2F33-4231-8012-03A899A968AF}"/>
  </bookViews>
  <sheets>
    <sheet name="Summary" sheetId="9" r:id="rId1"/>
    <sheet name="AI Capability" sheetId="7" r:id="rId2"/>
    <sheet name="Human Capability" sheetId="8" r:id="rId3"/>
    <sheet name="Comparison" sheetId="6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8" i="6" l="1"/>
</calcChain>
</file>

<file path=xl/sharedStrings.xml><?xml version="1.0" encoding="utf-8"?>
<sst xmlns="http://schemas.openxmlformats.org/spreadsheetml/2006/main" count="796" uniqueCount="513">
  <si>
    <t>AI vs Human Capability Maps</t>
  </si>
  <si>
    <t>TOGAF-Style Enterprise Capability Assessment</t>
  </si>
  <si>
    <t>Maturity Scoring Model</t>
  </si>
  <si>
    <t>Level</t>
  </si>
  <si>
    <t>Rating</t>
  </si>
  <si>
    <t>Description</t>
  </si>
  <si>
    <t>None</t>
  </si>
  <si>
    <t>Capability does not exist or is not applicable</t>
  </si>
  <si>
    <t>Initial</t>
  </si>
  <si>
    <t>Ad-hoc, inconsistent, heavily dependent on individual effort</t>
  </si>
  <si>
    <t>Developing</t>
  </si>
  <si>
    <t>Some repeatability, emerging patterns, requires oversight</t>
  </si>
  <si>
    <t>Defined</t>
  </si>
  <si>
    <t>Standardized processes, reliable performance, documented</t>
  </si>
  <si>
    <t>Managed</t>
  </si>
  <si>
    <t>Quantitatively managed, predictable, measurable</t>
  </si>
  <si>
    <t>Optimized</t>
  </si>
  <si>
    <t>Continuous improvement, industry-leading, innovative</t>
  </si>
  <si>
    <t>CAPABILITY MAP: CURRENT AGENTIC AI SYSTEMS</t>
  </si>
  <si>
    <t>1. CORE COGNITIVE CAPABILITIES</t>
  </si>
  <si>
    <t>Capability</t>
  </si>
  <si>
    <t>Sub-Capability</t>
  </si>
  <si>
    <t>Score</t>
  </si>
  <si>
    <t>Assessment Notes</t>
  </si>
  <si>
    <t>Perception &amp; Pattern Recognition</t>
  </si>
  <si>
    <t>Visual Processing</t>
  </si>
  <si>
    <t>Strong object detection, classification; struggles with novel contexts</t>
  </si>
  <si>
    <t>Sensor Data Interpretation</t>
  </si>
  <si>
    <t>Excellent with structured data; limited physical world modeling</t>
  </si>
  <si>
    <t>Anomaly Detection</t>
  </si>
  <si>
    <t>Statistical anomalies well-handled; semantic anomalies challenging</t>
  </si>
  <si>
    <t>Multi-modal Integration</t>
  </si>
  <si>
    <t>Improving but still brittle across modalities</t>
  </si>
  <si>
    <t>Memory Systems</t>
  </si>
  <si>
    <t>Working Memory Capacity</t>
  </si>
  <si>
    <t>Context windows of 200K+ tokens exceed human working memory</t>
  </si>
  <si>
    <t>Long-term Storage</t>
  </si>
  <si>
    <t>No persistent memory across sessions without external systems</t>
  </si>
  <si>
    <t>Episodic Memory</t>
  </si>
  <si>
    <t>Cannot form genuine episodic memories; simulated only</t>
  </si>
  <si>
    <t>Semantic Memory</t>
  </si>
  <si>
    <t>Vast factual knowledge but with cutoff dates and hallucination risks</t>
  </si>
  <si>
    <t>Retrieval Accuracy</t>
  </si>
  <si>
    <t>Good with exact matches; struggles with fuzzy retrieval</t>
  </si>
  <si>
    <t>Reasoning &amp; Problem Solving</t>
  </si>
  <si>
    <t>Deductive Reasoning</t>
  </si>
  <si>
    <t>Strong in formal logic and well-defined domains</t>
  </si>
  <si>
    <t>Inductive Reasoning</t>
  </si>
  <si>
    <t>Pattern-based generalization works; limited true induction</t>
  </si>
  <si>
    <t>Abductive Reasoning</t>
  </si>
  <si>
    <t>Weak at "best explanation" reasoning without extensive examples</t>
  </si>
  <si>
    <t>Causal Reasoning</t>
  </si>
  <si>
    <t>Correlational rather than truly causal; improving with prompting</t>
  </si>
  <si>
    <t>Analogical Reasoning</t>
  </si>
  <si>
    <t>Surface-level analogies strong; deep structural mapping limited</t>
  </si>
  <si>
    <t>Constraint Satisfaction</t>
  </si>
  <si>
    <t>Excellent at optimization within defined constraints</t>
  </si>
  <si>
    <t>Learning &amp; Adaptation</t>
  </si>
  <si>
    <t>Few-shot Learning</t>
  </si>
  <si>
    <t>Works in-context but not true learning</t>
  </si>
  <si>
    <t>Transfer Learning</t>
  </si>
  <si>
    <t>Limited to similar domains; brittle outside training distribution</t>
  </si>
  <si>
    <t>Meta-learning</t>
  </si>
  <si>
    <t>Simulated through prompting; no genuine meta-cognitive learning</t>
  </si>
  <si>
    <t>Skill Acquisition</t>
  </si>
  <si>
    <t>Cannot acquire new skills post-training</t>
  </si>
  <si>
    <t>Concept Formation</t>
  </si>
  <si>
    <t>Recombines existing concepts; genuine novel concept formation rare</t>
  </si>
  <si>
    <t>Error Correction</t>
  </si>
  <si>
    <t>Can iterate with feedback; lacks deep self-correction mechanisms</t>
  </si>
  <si>
    <t>Planning &amp; Execution</t>
  </si>
  <si>
    <t>Goal Decomposition</t>
  </si>
  <si>
    <t>Strong hierarchical task breakdown</t>
  </si>
  <si>
    <t>Task Sequencing</t>
  </si>
  <si>
    <t>Good planning with clear objectives</t>
  </si>
  <si>
    <t>Resource Allocation</t>
  </si>
  <si>
    <t>Basic optimization; struggles with complex trade-offs</t>
  </si>
  <si>
    <t>Constraint Handling</t>
  </si>
  <si>
    <t>Excellent at managing explicit constraints</t>
  </si>
  <si>
    <t>Execution Monitoring</t>
  </si>
  <si>
    <t>Can track progress with proper tooling; limited self-awareness</t>
  </si>
  <si>
    <t>Replanning</t>
  </si>
  <si>
    <t>Adapts when given feedback; less effective at autonomous replanning</t>
  </si>
  <si>
    <r>
      <t>Category Average: 3.0</t>
    </r>
    <r>
      <rPr>
        <sz val="11"/>
        <color theme="1"/>
        <rFont val="Aptos Narrow"/>
        <family val="2"/>
        <scheme val="minor"/>
      </rPr>
      <t xml:space="preserve"> - Defined/Advanced level with significant variability</t>
    </r>
  </si>
  <si>
    <t>2. KNOWLEDGE DOMAIN CAPABILITIES</t>
  </si>
  <si>
    <t>Factual Knowledge</t>
  </si>
  <si>
    <t>Breadth</t>
  </si>
  <si>
    <t>Unprecedented breadth across domains</t>
  </si>
  <si>
    <t>Depth</t>
  </si>
  <si>
    <t>Variable; strong in well-documented areas, weak in specialized fields</t>
  </si>
  <si>
    <t>Currency</t>
  </si>
  <si>
    <t>Knowledge cutoff creates significant limitations</t>
  </si>
  <si>
    <t>Procedural Knowledge</t>
  </si>
  <si>
    <t>Task Execution</t>
  </si>
  <si>
    <t>Strong for well-defined procedural tasks</t>
  </si>
  <si>
    <t>Skill Application</t>
  </si>
  <si>
    <t>Can apply documented procedures; limited improvisation</t>
  </si>
  <si>
    <t>Process Following</t>
  </si>
  <si>
    <t>Exceptional at following explicit instructions</t>
  </si>
  <si>
    <t>Contextual Knowledge</t>
  </si>
  <si>
    <t>Social Norms</t>
  </si>
  <si>
    <t>Textbook understanding; limited cultural nuance</t>
  </si>
  <si>
    <t>Cultural Understanding</t>
  </si>
  <si>
    <t>Superficial; lacks lived experience foundation</t>
  </si>
  <si>
    <t>Domain Conventions</t>
  </si>
  <si>
    <t>Good for documented conventions; misses implicit norms</t>
  </si>
  <si>
    <t>Metacognitive Knowledge</t>
  </si>
  <si>
    <t>Self-awareness of Capabilities</t>
  </si>
  <si>
    <t>Poor understanding of own limitations</t>
  </si>
  <si>
    <t>Uncertainty Estimation</t>
  </si>
  <si>
    <t>Improving with calibration; still overconfident</t>
  </si>
  <si>
    <t>Competency Boundaries</t>
  </si>
  <si>
    <t>Frequently operates beyond competency without recognition</t>
  </si>
  <si>
    <r>
      <t>Category Average: 2.8</t>
    </r>
    <r>
      <rPr>
        <sz val="11"/>
        <color theme="1"/>
        <rFont val="Aptos Narrow"/>
        <family val="2"/>
        <scheme val="minor"/>
      </rPr>
      <t xml:space="preserve"> - Developing/Defined level</t>
    </r>
  </si>
  <si>
    <t>3. PERFORMANCE CHARACTERISTICS</t>
  </si>
  <si>
    <t>Speed</t>
  </si>
  <si>
    <t>Processing Throughput</t>
  </si>
  <si>
    <t>Orders of magnitude faster than humans</t>
  </si>
  <si>
    <t>Response Latency</t>
  </si>
  <si>
    <t>Sub-second for most tasks; inference latency improving</t>
  </si>
  <si>
    <t>Task Completion Time</t>
  </si>
  <si>
    <t>Dramatically faster for parallelizable work</t>
  </si>
  <si>
    <t>Accuracy</t>
  </si>
  <si>
    <t>Error Rate</t>
  </si>
  <si>
    <t>Variable; excellent in narrow domains, higher in general tasks</t>
  </si>
  <si>
    <t>Precision</t>
  </si>
  <si>
    <t>High consistency when properly constrained</t>
  </si>
  <si>
    <t>Consistency</t>
  </si>
  <si>
    <t>Perfect reproducibility with same inputs</t>
  </si>
  <si>
    <t>Reliability</t>
  </si>
  <si>
    <t>Depends heavily on input quality and domain</t>
  </si>
  <si>
    <t>Scale</t>
  </si>
  <si>
    <t>Parallel Processing</t>
  </si>
  <si>
    <t>Unlimited parallel instances</t>
  </si>
  <si>
    <t>Data Volume Handling</t>
  </si>
  <si>
    <t>Can process massive datasets</t>
  </si>
  <si>
    <t>Concurrent Tasks</t>
  </si>
  <si>
    <t>No degradation from multitasking</t>
  </si>
  <si>
    <t>Efficiency</t>
  </si>
  <si>
    <t>Energy Consumption</t>
  </si>
  <si>
    <t>Extremely high computational costs</t>
  </si>
  <si>
    <t>Resource Utilization</t>
  </si>
  <si>
    <t>Requires significant infrastructure</t>
  </si>
  <si>
    <t>Cost per Operation</t>
  </si>
  <si>
    <t>Improving but still expensive at scale</t>
  </si>
  <si>
    <t>Endurance</t>
  </si>
  <si>
    <t>Sustained Performance</t>
  </si>
  <si>
    <t>No fatigue or degradation</t>
  </si>
  <si>
    <t>Degradation Over Time</t>
  </si>
  <si>
    <t>Consistent performance indefinitely</t>
  </si>
  <si>
    <t>Recovery Needs</t>
  </si>
  <si>
    <t>No rest or recovery required</t>
  </si>
  <si>
    <r>
      <t>Category Average: 4.0</t>
    </r>
    <r>
      <rPr>
        <sz val="11"/>
        <color theme="1"/>
        <rFont val="Aptos Narrow"/>
        <family val="2"/>
        <scheme val="minor"/>
      </rPr>
      <t xml:space="preserve"> - Managed/Expert level</t>
    </r>
  </si>
  <si>
    <t>4. CREATIVE &amp; GENERATIVE CAPABILITIES</t>
  </si>
  <si>
    <t>Novelty Generation</t>
  </si>
  <si>
    <t>Combinatorial Creativity</t>
  </si>
  <si>
    <t>Excellent at recombining existing elements</t>
  </si>
  <si>
    <t>Conceptual Blending</t>
  </si>
  <si>
    <t>Good with guided prompting; limited autonomous innovation</t>
  </si>
  <si>
    <t>Paradigm Innovation</t>
  </si>
  <si>
    <t>Cannot create genuinely new paradigms</t>
  </si>
  <si>
    <t>Aesthetic Judgment</t>
  </si>
  <si>
    <t>Quality Assessment</t>
  </si>
  <si>
    <t>Can apply learned criteria; lacks true taste</t>
  </si>
  <si>
    <t>Style Consistency</t>
  </si>
  <si>
    <t>Excellent at maintaining specified styles</t>
  </si>
  <si>
    <t>Taste Development</t>
  </si>
  <si>
    <t>No subjective preference formation</t>
  </si>
  <si>
    <t>Improvisation</t>
  </si>
  <si>
    <t>Real-time Adaptation</t>
  </si>
  <si>
    <t>Can adjust within learned patterns</t>
  </si>
  <si>
    <t>Constraint-based Creativity</t>
  </si>
  <si>
    <t>Strong at creative problem-solving with constraints</t>
  </si>
  <si>
    <t>Originality</t>
  </si>
  <si>
    <t>Genuinely Novel Ideas</t>
  </si>
  <si>
    <t>Mostly recombinant rather than truly original</t>
  </si>
  <si>
    <t>Innovation Beyond Training</t>
  </si>
  <si>
    <t>Cannot transcend training data distribution</t>
  </si>
  <si>
    <r>
      <t>Category Average: 2.4</t>
    </r>
    <r>
      <rPr>
        <sz val="11"/>
        <color theme="1"/>
        <rFont val="Aptos Narrow"/>
        <family val="2"/>
        <scheme val="minor"/>
      </rPr>
      <t xml:space="preserve"> - Developing level</t>
    </r>
  </si>
  <si>
    <t>5. SOCIAL &amp; EMOTIONAL INTELLIGENCE</t>
  </si>
  <si>
    <t>Empathy</t>
  </si>
  <si>
    <t>Emotional Recognition</t>
  </si>
  <si>
    <t>Can identify emotions from text/context cues</t>
  </si>
  <si>
    <t>Perspective-taking</t>
  </si>
  <si>
    <t>Simulated rather than genuine perspective-taking</t>
  </si>
  <si>
    <t>Compassionate Response</t>
  </si>
  <si>
    <t>Can generate appropriate empathetic language</t>
  </si>
  <si>
    <t>Communication</t>
  </si>
  <si>
    <t>Natural Dialogue</t>
  </si>
  <si>
    <t>Highly fluent and contextually appropriate</t>
  </si>
  <si>
    <t>Persuasion</t>
  </si>
  <si>
    <t>Effective with logical arguments; lacks emotional resonance</t>
  </si>
  <si>
    <t>Explanation Quality</t>
  </si>
  <si>
    <t>Excellent at breaking down complex topics</t>
  </si>
  <si>
    <t>Code-switching</t>
  </si>
  <si>
    <t>Can adjust register and style appropriately</t>
  </si>
  <si>
    <t>Collaboration</t>
  </si>
  <si>
    <t>Shared Understanding Building</t>
  </si>
  <si>
    <t>Limited true collaborative reasoning</t>
  </si>
  <si>
    <t>Conflict Resolution</t>
  </si>
  <si>
    <t>Can suggest approaches; lacks emotional intelligence depth</t>
  </si>
  <si>
    <t>Team Coordination</t>
  </si>
  <si>
    <t>No persistent team mental models</t>
  </si>
  <si>
    <t>Trust &amp; Ethics</t>
  </si>
  <si>
    <t>Moral Reasoning</t>
  </si>
  <si>
    <t>Rule-based rather than principled ethical reasoning</t>
  </si>
  <si>
    <t>Ethical Judgment</t>
  </si>
  <si>
    <t>Struggles with novel ethical dilemmas</t>
  </si>
  <si>
    <t>Value Alignment</t>
  </si>
  <si>
    <t>Improving through RLHF; still imperfect</t>
  </si>
  <si>
    <t>Accountability</t>
  </si>
  <si>
    <t>Cannot take genuine responsibility</t>
  </si>
  <si>
    <r>
      <t>Category Average: 2.5</t>
    </r>
    <r>
      <rPr>
        <sz val="11"/>
        <color theme="1"/>
        <rFont val="Aptos Narrow"/>
        <family val="2"/>
        <scheme val="minor"/>
      </rPr>
      <t xml:space="preserve"> - Developing level</t>
    </r>
  </si>
  <si>
    <t>6. ROBUSTNESS &amp; RELIABILITY</t>
  </si>
  <si>
    <t>Generalization</t>
  </si>
  <si>
    <t>Out-of-Distribution Performance</t>
  </si>
  <si>
    <t>Significant degradation outside training data</t>
  </si>
  <si>
    <t>Domain Transfer</t>
  </si>
  <si>
    <t>Limited cross-domain capability</t>
  </si>
  <si>
    <t>Context Flexibility</t>
  </si>
  <si>
    <t>Good within training distribution</t>
  </si>
  <si>
    <t>Error Handling</t>
  </si>
  <si>
    <t>Failure Detection</t>
  </si>
  <si>
    <t>Poor at recognizing own errors</t>
  </si>
  <si>
    <t>Graceful Degradation</t>
  </si>
  <si>
    <t>Can fail unexpectedly</t>
  </si>
  <si>
    <t>Recovery Mechanisms</t>
  </si>
  <si>
    <t>Improving with retry logic and tools</t>
  </si>
  <si>
    <t>Uncertainty Management</t>
  </si>
  <si>
    <t>Confidence Calibration</t>
  </si>
  <si>
    <t>Often overconfident</t>
  </si>
  <si>
    <t>Risk Assessment</t>
  </si>
  <si>
    <t>Statistical risk only; poor with novel risks</t>
  </si>
  <si>
    <t>Knowing Limitations</t>
  </si>
  <si>
    <t>Weak self-awareness of capability boundaries</t>
  </si>
  <si>
    <t>Adversarial Resistance</t>
  </si>
  <si>
    <t>Robustness to Manipulation</t>
  </si>
  <si>
    <t>Vulnerable to prompt injection and jailbreaking</t>
  </si>
  <si>
    <t>Security Against Attacks</t>
  </si>
  <si>
    <t>Improving but still exploitable</t>
  </si>
  <si>
    <r>
      <t>Category Average: 2.1</t>
    </r>
    <r>
      <rPr>
        <sz val="11"/>
        <color theme="1"/>
        <rFont val="Aptos Narrow"/>
        <family val="2"/>
        <scheme val="minor"/>
      </rPr>
      <t xml:space="preserve"> - Developing level</t>
    </r>
  </si>
  <si>
    <t>7. ENTERPRISE/PRACTICAL CAPABILITIES</t>
  </si>
  <si>
    <t>Deployment &amp; Operations</t>
  </si>
  <si>
    <t>Setup Complexity</t>
  </si>
  <si>
    <t>API-based deployment relatively straightforward</t>
  </si>
  <si>
    <t>Maintenance Requirements</t>
  </si>
  <si>
    <t>Low ongoing maintenance once deployed</t>
  </si>
  <si>
    <t>Observability</t>
  </si>
  <si>
    <t>Improving logging and monitoring capabilities</t>
  </si>
  <si>
    <t>Upgrade Paths</t>
  </si>
  <si>
    <t>Model updates relatively seamless</t>
  </si>
  <si>
    <t>Integration</t>
  </si>
  <si>
    <t>API Availability</t>
  </si>
  <si>
    <t>Well-documented APIs across major providers</t>
  </si>
  <si>
    <t>Tool Use</t>
  </si>
  <si>
    <t>Strong function calling and tool integration</t>
  </si>
  <si>
    <t>System Interoperability</t>
  </si>
  <si>
    <t>Good integration with existing systems</t>
  </si>
  <si>
    <t>Cost Structure</t>
  </si>
  <si>
    <t>Initial Investment</t>
  </si>
  <si>
    <t>Moderate API costs or high for self-hosting</t>
  </si>
  <si>
    <t>Operational Costs</t>
  </si>
  <si>
    <t>Ongoing compute costs significant</t>
  </si>
  <si>
    <t>Scaling Economics</t>
  </si>
  <si>
    <t>Improving with optimization</t>
  </si>
  <si>
    <t>Compliance &amp; Governance</t>
  </si>
  <si>
    <t>Auditability</t>
  </si>
  <si>
    <t>Black box nature limits auditability</t>
  </si>
  <si>
    <t>Explainability</t>
  </si>
  <si>
    <t>Limited true explainability</t>
  </si>
  <si>
    <t>Regulatory Alignment</t>
  </si>
  <si>
    <t>Evolving compliance frameworks</t>
  </si>
  <si>
    <t>Data Privacy</t>
  </si>
  <si>
    <t>Improving but requires careful implementation</t>
  </si>
  <si>
    <r>
      <t>Category Average: 3.3</t>
    </r>
    <r>
      <rPr>
        <sz val="11"/>
        <color theme="1"/>
        <rFont val="Aptos Narrow"/>
        <family val="2"/>
        <scheme val="minor"/>
      </rPr>
      <t xml:space="preserve"> - Defined level</t>
    </r>
  </si>
  <si>
    <t>OVERALL AI CAPABILITY SUMMARY</t>
  </si>
  <si>
    <t>Category</t>
  </si>
  <si>
    <t>Average Score</t>
  </si>
  <si>
    <t>Maturity Level</t>
  </si>
  <si>
    <t>Core Cognitive Capabilities</t>
  </si>
  <si>
    <t>Defined/Advanced</t>
  </si>
  <si>
    <t>Knowledge Domain Capabilities</t>
  </si>
  <si>
    <t>Developing/Defined</t>
  </si>
  <si>
    <t>Performance Characteristics</t>
  </si>
  <si>
    <t>Managed/Expert</t>
  </si>
  <si>
    <t>Creative &amp; Generative</t>
  </si>
  <si>
    <t>Social &amp; Emotional Intelligence</t>
  </si>
  <si>
    <t>Robustness &amp; Reliability</t>
  </si>
  <si>
    <t>Enterprise/Practical</t>
  </si>
  <si>
    <t>OVERALL AVERAGE</t>
  </si>
  <si>
    <t>CAPABILITY MAP: HUMAN COGNITIVE CAPABILITIES</t>
  </si>
  <si>
    <t>Excellent 3D reasoning, motion tracking, subtle cue detection</t>
  </si>
  <si>
    <t>Superior multi-sensory integration with physical grounding</t>
  </si>
  <si>
    <t>Strong intuitive "something's wrong" detection</t>
  </si>
  <si>
    <t>Seamless cross-sensory processing from birth</t>
  </si>
  <si>
    <t>Limited to 7±2 chunks; significant constraint</t>
  </si>
  <si>
    <t>Vast but with retrieval inconsistencies</t>
  </si>
  <si>
    <t>Rich autobiographical memory with emotional tagging</t>
  </si>
  <si>
    <t>Deep in specialized areas; limited breadth</t>
  </si>
  <si>
    <t>Subject to biases and reconstruction errors</t>
  </si>
  <si>
    <t>Good but error-prone with complex logic</t>
  </si>
  <si>
    <t>Excellent pattern abstraction from limited examples</t>
  </si>
  <si>
    <t>Superior "best explanation" inference</t>
  </si>
  <si>
    <t>Intuitive understanding of cause-effect from embodied experience</t>
  </si>
  <si>
    <t>Deep structural mapping across distant domains</t>
  </si>
  <si>
    <t>Good but computationally limited</t>
  </si>
  <si>
    <t>Can generalize from single examples</t>
  </si>
  <si>
    <t>Excellent cross-domain transfer</t>
  </si>
  <si>
    <t>Can learn how to learn; adaptive strategies</t>
  </si>
  <si>
    <t>Lifelong learning with deliberate practice</t>
  </si>
  <si>
    <t>Can create genuinely novel concepts</t>
  </si>
  <si>
    <t>Self-reflection and metacognitive adjustment</t>
  </si>
  <si>
    <t>Hierarchical planning with flexible adjustment</t>
  </si>
  <si>
    <t>Good temporal reasoning and scheduling</t>
  </si>
  <si>
    <t>Intuitive trade-off management</t>
  </si>
  <si>
    <t>Manages multiple competing constraints</t>
  </si>
  <si>
    <t>Continuous self-monitoring and adjustment</t>
  </si>
  <si>
    <t>Rapid adaptation to changing circumstances</t>
  </si>
  <si>
    <r>
      <t>Category Average: 4.1</t>
    </r>
    <r>
      <rPr>
        <sz val="11"/>
        <color theme="1"/>
        <rFont val="Aptos Narrow"/>
        <family val="2"/>
        <scheme val="minor"/>
      </rPr>
      <t xml:space="preserve"> - Managed/Expert level</t>
    </r>
  </si>
  <si>
    <t>Limited compared to AI; specialist rather than generalist</t>
  </si>
  <si>
    <t>Expert-level depth in specialized domains</t>
  </si>
  <si>
    <t>Can continuously update knowledge in real-time</t>
  </si>
  <si>
    <t>Superior physical and cognitive procedural knowledge</t>
  </si>
  <si>
    <t>Flexible skill application with improvisation</t>
  </si>
  <si>
    <t>Can follow but also knows when to break rules</t>
  </si>
  <si>
    <t>Deep implicit understanding from lived experience</t>
  </si>
  <si>
    <t>Authentic cultural fluency and sensitivity</t>
  </si>
  <si>
    <t>Grasps both explicit and implicit conventions</t>
  </si>
  <si>
    <t>Generally good self-assessment (Dunning-Kruger aside)</t>
  </si>
  <si>
    <t>Can express and reason about uncertainty</t>
  </si>
  <si>
    <t>Generally knows what they don't know</t>
  </si>
  <si>
    <r>
      <t>Category Average: 4.3</t>
    </r>
    <r>
      <rPr>
        <sz val="11"/>
        <color theme="1"/>
        <rFont val="Aptos Narrow"/>
        <family val="2"/>
        <scheme val="minor"/>
      </rPr>
      <t xml:space="preserve"> - Managed/Expert level</t>
    </r>
  </si>
  <si>
    <t>Severely limited compared to computers</t>
  </si>
  <si>
    <t>Fast for familiar tasks; slower for novel problems</t>
  </si>
  <si>
    <t>Much slower than AI for computational tasks</t>
  </si>
  <si>
    <t>Variable; excellent with practice but prone to lapses</t>
  </si>
  <si>
    <t>Good but affected by fatigue and distraction</t>
  </si>
  <si>
    <t>High variability based on state and context</t>
  </si>
  <si>
    <t>Generally reliable but with known failure modes</t>
  </si>
  <si>
    <t>Very limited true parallel processing</t>
  </si>
  <si>
    <t>Limited by working memory constraints</t>
  </si>
  <si>
    <t>Task switching overhead significant</t>
  </si>
  <si>
    <t>~20 watts for entire brain; incredibly efficient</t>
  </si>
  <si>
    <t>Optimal resource use with minimal infrastructure</t>
  </si>
  <si>
    <t>Extremely cost-effective at scale</t>
  </si>
  <si>
    <t>Fatigue limits sustained peak performance</t>
  </si>
  <si>
    <t>Performance degrades with fatigue and age</t>
  </si>
  <si>
    <t>Requires sleep, rest, and recovery time</t>
  </si>
  <si>
    <r>
      <t>Category Average: 2.7</t>
    </r>
    <r>
      <rPr>
        <sz val="11"/>
        <color theme="1"/>
        <rFont val="Aptos Narrow"/>
        <family val="2"/>
        <scheme val="minor"/>
      </rPr>
      <t xml:space="preserve"> - Developing/Defined level</t>
    </r>
  </si>
  <si>
    <t>Strong recombination with meaning</t>
  </si>
  <si>
    <t>Can create genuinely new conceptual spaces</t>
  </si>
  <si>
    <t>Can create revolutionary new frameworks</t>
  </si>
  <si>
    <t>Subjective taste with cultural grounding</t>
  </si>
  <si>
    <t>Can maintain style while evolving</t>
  </si>
  <si>
    <t>Develops unique aesthetic preferences</t>
  </si>
  <si>
    <t>Exceptional spontaneous adaptation</t>
  </si>
  <si>
    <t>Thrives under creative constraints</t>
  </si>
  <si>
    <t>Can transcend existing paradigms</t>
  </si>
  <si>
    <t>Not limited by past experience</t>
  </si>
  <si>
    <r>
      <t>Category Average: 4.8</t>
    </r>
    <r>
      <rPr>
        <sz val="11"/>
        <color theme="1"/>
        <rFont val="Aptos Narrow"/>
        <family val="2"/>
        <scheme val="minor"/>
      </rPr>
      <t xml:space="preserve"> - Optimized level</t>
    </r>
  </si>
  <si>
    <t>Subtle emotional cue detection</t>
  </si>
  <si>
    <t>Genuine theory of mind</t>
  </si>
  <si>
    <t>Authentic emotional connection</t>
  </si>
  <si>
    <t>Context-sensitive, nuanced communication</t>
  </si>
  <si>
    <t>Emotional and logical persuasion</t>
  </si>
  <si>
    <t>Adapts to audience but can be incomplete</t>
  </si>
  <si>
    <t>Seamless register and style shifting</t>
  </si>
  <si>
    <t>Can negotiate meaning and build common ground</t>
  </si>
  <si>
    <t>Emotional intelligence in mediation</t>
  </si>
  <si>
    <t>Implicit coordination and shared mental models</t>
  </si>
  <si>
    <t>Principled ethical reasoning</t>
  </si>
  <si>
    <t>Handles novel moral dilemmas</t>
  </si>
  <si>
    <t>Personal values but cultural variation</t>
  </si>
  <si>
    <t>Can take genuine responsibility</t>
  </si>
  <si>
    <r>
      <t>Category Average: 4.9</t>
    </r>
    <r>
      <rPr>
        <sz val="11"/>
        <color theme="1"/>
        <rFont val="Aptos Narrow"/>
        <family val="2"/>
        <scheme val="minor"/>
      </rPr>
      <t xml:space="preserve"> - Optimized level</t>
    </r>
  </si>
  <si>
    <t>Excellent generalization to novel situations</t>
  </si>
  <si>
    <t>Strong analogical transfer across domains</t>
  </si>
  <si>
    <t>Highly adaptive to new contexts</t>
  </si>
  <si>
    <t>Good error awareness; some blind spots</t>
  </si>
  <si>
    <t>Can continue functioning with partial failure</t>
  </si>
  <si>
    <t>Self-correction and learning from mistakes</t>
  </si>
  <si>
    <t>Generally well-calibrated; some overconfidence</t>
  </si>
  <si>
    <t>Intuitive risk evaluation</t>
  </si>
  <si>
    <t>Meta-awareness of knowledge gaps</t>
  </si>
  <si>
    <t>Vulnerable to social engineering but can detect it</t>
  </si>
  <si>
    <t>Cognitive biases exploitable but adaptive</t>
  </si>
  <si>
    <r>
      <t>Category Average: 4.2</t>
    </r>
    <r>
      <rPr>
        <sz val="11"/>
        <color theme="1"/>
        <rFont val="Aptos Narrow"/>
        <family val="2"/>
        <scheme val="minor"/>
      </rPr>
      <t xml:space="preserve"> - Managed/Expert level</t>
    </r>
  </si>
  <si>
    <t>Hiring, training, onboarding complex</t>
  </si>
  <si>
    <t>Ongoing management and development needed</t>
  </si>
  <si>
    <t>Behavior can be opaque; improving with feedback</t>
  </si>
  <si>
    <t>Continuous learning and skill development</t>
  </si>
  <si>
    <t>Communication interfaces exist but not standardized</t>
  </si>
  <si>
    <t>Superior tool creation and use</t>
  </si>
  <si>
    <t>Can work with diverse systems adaptively</t>
  </si>
  <si>
    <t>Recruiting and training costs significant</t>
  </si>
  <si>
    <t>Salary and benefits ongoing</t>
  </si>
  <si>
    <t>Linear scaling; doesn't benefit from parallelization</t>
  </si>
  <si>
    <t>Can explain reasoning; may have biases</t>
  </si>
  <si>
    <t>Can articulate decision-making process</t>
  </si>
  <si>
    <t>Understands and can comply with regulations</t>
  </si>
  <si>
    <t>Can maintain confidentiality with proper training</t>
  </si>
  <si>
    <t>OVERALL HUMAN CAPABILITY SUMMARY</t>
  </si>
  <si>
    <t>COMPARATIVE CAPABILITY ANALYSIS</t>
  </si>
  <si>
    <t>AI Advantages (Score Differential ≥ 2 points)</t>
  </si>
  <si>
    <t>Capability Area</t>
  </si>
  <si>
    <t>AI Score</t>
  </si>
  <si>
    <t>Human Score</t>
  </si>
  <si>
    <t>Delta</t>
  </si>
  <si>
    <t>Strategic Implication</t>
  </si>
  <si>
    <t>AI can handle much larger context windows</t>
  </si>
  <si>
    <t>AI dramatically faster for computational tasks</t>
  </si>
  <si>
    <t>AI can scale horizontally; humans cannot</t>
  </si>
  <si>
    <t>AI handles multitasking without degradation</t>
  </si>
  <si>
    <t>AI doesn't fatigue; 24/7 operation</t>
  </si>
  <si>
    <t>AI provides perfect reproducibility</t>
  </si>
  <si>
    <t>AI excels at strict procedural compliance</t>
  </si>
  <si>
    <t>Factual Knowledge Breadth</t>
  </si>
  <si>
    <t>AI has encyclopedic breadth</t>
  </si>
  <si>
    <t>Human Advantages (Score Differential ≥ 2 points)</t>
  </si>
  <si>
    <t>Humans understand true causality</t>
  </si>
  <si>
    <t>Humans excel at "best explanation" inference</t>
  </si>
  <si>
    <t>Humans learn from minimal examples</t>
  </si>
  <si>
    <t>Humans transfer knowledge across domains</t>
  </si>
  <si>
    <t>Humans can learn how to learn</t>
  </si>
  <si>
    <t>Humans create genuinely novel concepts</t>
  </si>
  <si>
    <t>Only humans create revolutionary frameworks</t>
  </si>
  <si>
    <t>AI has no genuine aesthetic preferences</t>
  </si>
  <si>
    <t>All Social &amp; Emotional</t>
  </si>
  <si>
    <t>Humans superior in empathy, collaboration, ethics</t>
  </si>
  <si>
    <t>Energy Efficiency</t>
  </si>
  <si>
    <t>Humans operate on ~20 watts</t>
  </si>
  <si>
    <t>Generalization (OOD)</t>
  </si>
  <si>
    <t>Humans handle novel situations better</t>
  </si>
  <si>
    <t>Self-awareness of Limits</t>
  </si>
  <si>
    <t>AI poor at knowing what it doesn't know</t>
  </si>
  <si>
    <t>Comparable Capabilities (Delta ≤ 1 point)</t>
  </si>
  <si>
    <t>Notes</t>
  </si>
  <si>
    <t>AI slightly better at formal logic</t>
  </si>
  <si>
    <t>Both strong at task breakdown</t>
  </si>
  <si>
    <t>AI slightly better at optimization</t>
  </si>
  <si>
    <t>Both highly capable</t>
  </si>
  <si>
    <t>Enterprise Integration</t>
  </si>
  <si>
    <t>Similar practical deployment challenges</t>
  </si>
  <si>
    <t>STRATEGIC RECOMMENDATIONS</t>
  </si>
  <si>
    <t>Optimal AI Use Cases:</t>
  </si>
  <si>
    <t>High-volume data processing and analysis</t>
  </si>
  <si>
    <t>Repetitive procedural tasks requiring consistency</t>
  </si>
  <si>
    <t>Information synthesis across broad knowledge domains</t>
  </si>
  <si>
    <t>Parallel processing of similar tasks</t>
  </si>
  <si>
    <t>24/7 operations requiring no downtime</t>
  </si>
  <si>
    <t>Tasks with clear success criteria and structured outputs</t>
  </si>
  <si>
    <t>Novel situations outside training distribution</t>
  </si>
  <si>
    <t>Causal reasoning and root cause analysis</t>
  </si>
  <si>
    <t>Ethical judgment in ambiguous situations</t>
  </si>
  <si>
    <t>Creative paradigm shifts and innovation</t>
  </si>
  <si>
    <t>Emotional intelligence and relationship building</t>
  </si>
  <si>
    <t>Self-awareness of capability limitations</t>
  </si>
  <si>
    <t>Tasks requiring genuine accountability</t>
  </si>
  <si>
    <t>For AGI Evaluation (Startup Assessment Framework)</t>
  </si>
  <si>
    <t>Claims of autonomous causal reasoning</t>
  </si>
  <si>
    <t>Genuine self-awareness and metacognition</t>
  </si>
  <si>
    <t>Human-level energy efficiency</t>
  </si>
  <si>
    <t>Autonomous paradigm innovation</t>
  </si>
  <si>
    <t>Authentic emotional intelligence</t>
  </si>
  <si>
    <t>Self-knowledge of competency boundaries</t>
  </si>
  <si>
    <t>Realistic Near-term Advances:</t>
  </si>
  <si>
    <t>Improved robustness and generalization (2→3)</t>
  </si>
  <si>
    <t>Better uncertainty calibration (2→3)</t>
  </si>
  <si>
    <t>Enhanced tool use and integration (4→5)</t>
  </si>
  <si>
    <t>Longer context windows (5→5+)</t>
  </si>
  <si>
    <t>Better error detection (2→3)</t>
  </si>
  <si>
    <t>Gap Closure Timeline Estimates</t>
  </si>
  <si>
    <t>Capability Gap</t>
  </si>
  <si>
    <t>Current State</t>
  </si>
  <si>
    <t>5-Year Outlook</t>
  </si>
  <si>
    <t>10-Year Outlook</t>
  </si>
  <si>
    <t>Confidence</t>
  </si>
  <si>
    <t>Working Memory</t>
  </si>
  <si>
    <t>AI leads</t>
  </si>
  <si>
    <t>Wider AI lead</t>
  </si>
  <si>
    <t>Much wider AI lead</t>
  </si>
  <si>
    <t>Very High</t>
  </si>
  <si>
    <t>Human leads +3</t>
  </si>
  <si>
    <t>Human leads +2</t>
  </si>
  <si>
    <t>Human leads +1</t>
  </si>
  <si>
    <t>Medium</t>
  </si>
  <si>
    <t>Social Intelligence</t>
  </si>
  <si>
    <t>Human leads +4</t>
  </si>
  <si>
    <t>High</t>
  </si>
  <si>
    <t>Comparable</t>
  </si>
  <si>
    <t>Low</t>
  </si>
  <si>
    <t>Metacognition</t>
  </si>
  <si>
    <t>True Creativity</t>
  </si>
  <si>
    <t>Human scores represent typical adult with relevant domain experience</t>
  </si>
  <si>
    <t>Variability exists within both populations; scores reflect median capability</t>
  </si>
  <si>
    <t>Some capabilities show bimodal distribution (e.g., human factual knowledge varies dramatically by individual)</t>
  </si>
  <si>
    <t>Rapid AI advancement may outdate scores quickly in specific areas</t>
  </si>
  <si>
    <t>Human capability highly variable by individual, training, and context</t>
  </si>
  <si>
    <t>Some dimensions inherently difficult to quantify</t>
  </si>
  <si>
    <t>Enterprise deployment maturity varies significantly by organization</t>
  </si>
  <si>
    <t>Recommend quarterly reassessment of AI capabilities</t>
  </si>
  <si>
    <t>Annual reassessment of human baseline adequate</t>
  </si>
  <si>
    <t>For AI Application</t>
  </si>
  <si>
    <t>Human Supervision Required:</t>
  </si>
  <si>
    <t>Red Flags Based on Near Term Gaps:</t>
  </si>
  <si>
    <t>Robustness (OOD)*</t>
  </si>
  <si>
    <t>* encountering data or situations outside of what the LLM was trained on.</t>
  </si>
  <si>
    <t>Assessment Notes:</t>
  </si>
  <si>
    <t>Scoring Bias</t>
  </si>
  <si>
    <t>AI vs Human Capability Map Study</t>
  </si>
  <si>
    <t>Scores reflect current state-of-the-art systems (GPT-4/5, Claude 4.5 Sonnet, etc.)</t>
  </si>
  <si>
    <t>Suggested Update Frequency:</t>
  </si>
  <si>
    <t>This analysis is highly subjective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</si>
</sst>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4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3.5"/>
      <color theme="1"/>
      <name val="Aptos Narrow"/>
      <family val="2"/>
      <scheme val="minor"/>
    </font>
    <font>
      <b/>
      <sz val="22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" fillId="0" borderId="0" xfId="0" applyFont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16" fontId="0" fillId="0" borderId="0" xfId="0" applyNumberFormat="1" applyAlignment="1">
      <alignment vertical="center" wrapText="1"/>
    </xf>
    <xf numFmtId="0" fontId="0" fillId="0" borderId="0" xfId="0" applyAlignment="1">
      <alignment horizontal="left" vertical="center" indent="1"/>
    </xf>
    <xf numFmtId="0" fontId="5" fillId="0" borderId="0" xfId="0" applyFont="1" applyAlignment="1">
      <alignment vertical="center"/>
    </xf>
    <xf numFmtId="14" fontId="3" fillId="0" borderId="0" xfId="0" applyNumberFormat="1" applyFont="1" applyAlignment="1">
      <alignment horizontal="left"/>
    </xf>
    <xf numFmtId="0" fontId="6" fillId="0" borderId="0" xfId="0" applyFont="1" applyAlignment="1">
      <alignment horizontal="left" vertical="center"/>
    </xf>
    <xf numFmtId="0" fontId="6" fillId="0" borderId="0" xfId="0" applyFont="1"/>
    <xf numFmtId="0" fontId="6" fillId="0" borderId="0" xfId="0" applyFont="1" applyAlignment="1">
      <alignment horizontal="left"/>
    </xf>
    <xf numFmtId="0" fontId="4" fillId="0" borderId="0" xfId="0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0" xfId="0" applyFont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A2F14-CAA6-4F55-9520-89D772075049}">
  <dimension ref="A1:I42"/>
  <sheetViews>
    <sheetView tabSelected="1" workbookViewId="0">
      <selection activeCell="F17" sqref="F17"/>
    </sheetView>
  </sheetViews>
  <sheetFormatPr defaultColWidth="20.7109375" defaultRowHeight="15" x14ac:dyDescent="0.25"/>
  <cols>
    <col min="1" max="1" width="55.140625" customWidth="1"/>
    <col min="2" max="2" width="12.7109375" customWidth="1"/>
    <col min="3" max="3" width="60.28515625" customWidth="1"/>
    <col min="4" max="4" width="3.85546875" customWidth="1"/>
  </cols>
  <sheetData>
    <row r="1" spans="1:9" ht="28.5" x14ac:dyDescent="0.25">
      <c r="A1" s="11" t="s">
        <v>509</v>
      </c>
      <c r="C1" s="3" t="s">
        <v>1</v>
      </c>
    </row>
    <row r="2" spans="1:9" ht="24" x14ac:dyDescent="0.4">
      <c r="A2" s="3" t="s">
        <v>443</v>
      </c>
      <c r="C2" s="12">
        <v>46013</v>
      </c>
    </row>
    <row r="4" spans="1:9" ht="18" x14ac:dyDescent="0.25">
      <c r="A4" s="7" t="s">
        <v>502</v>
      </c>
      <c r="C4" s="7" t="s">
        <v>458</v>
      </c>
      <c r="E4" s="7" t="s">
        <v>471</v>
      </c>
    </row>
    <row r="6" spans="1:9" x14ac:dyDescent="0.25">
      <c r="A6" s="4" t="s">
        <v>444</v>
      </c>
      <c r="C6" s="4" t="s">
        <v>504</v>
      </c>
      <c r="E6" s="5" t="s">
        <v>472</v>
      </c>
      <c r="F6" s="5" t="s">
        <v>473</v>
      </c>
      <c r="G6" s="5" t="s">
        <v>474</v>
      </c>
      <c r="H6" s="5" t="s">
        <v>475</v>
      </c>
      <c r="I6" s="5" t="s">
        <v>476</v>
      </c>
    </row>
    <row r="7" spans="1:9" x14ac:dyDescent="0.25">
      <c r="A7" s="10"/>
      <c r="C7" s="10"/>
      <c r="E7" s="6" t="s">
        <v>477</v>
      </c>
      <c r="F7" s="6" t="s">
        <v>478</v>
      </c>
      <c r="G7" s="6" t="s">
        <v>479</v>
      </c>
      <c r="H7" s="6" t="s">
        <v>480</v>
      </c>
      <c r="I7" s="6" t="s">
        <v>481</v>
      </c>
    </row>
    <row r="8" spans="1:9" x14ac:dyDescent="0.25">
      <c r="A8" s="10" t="s">
        <v>445</v>
      </c>
      <c r="C8" s="10" t="s">
        <v>459</v>
      </c>
      <c r="E8" s="6" t="s">
        <v>51</v>
      </c>
      <c r="F8" s="6" t="s">
        <v>482</v>
      </c>
      <c r="G8" s="6" t="s">
        <v>483</v>
      </c>
      <c r="H8" s="6" t="s">
        <v>484</v>
      </c>
      <c r="I8" s="6" t="s">
        <v>485</v>
      </c>
    </row>
    <row r="9" spans="1:9" x14ac:dyDescent="0.25">
      <c r="A9" s="10" t="s">
        <v>446</v>
      </c>
      <c r="C9" s="10" t="s">
        <v>460</v>
      </c>
      <c r="E9" s="6" t="s">
        <v>486</v>
      </c>
      <c r="F9" s="6" t="s">
        <v>483</v>
      </c>
      <c r="G9" s="6" t="s">
        <v>483</v>
      </c>
      <c r="H9" s="6" t="s">
        <v>484</v>
      </c>
      <c r="I9" s="6" t="s">
        <v>485</v>
      </c>
    </row>
    <row r="10" spans="1:9" x14ac:dyDescent="0.25">
      <c r="A10" s="10" t="s">
        <v>447</v>
      </c>
      <c r="C10" s="10" t="s">
        <v>461</v>
      </c>
      <c r="E10" s="6" t="s">
        <v>429</v>
      </c>
      <c r="F10" s="6" t="s">
        <v>487</v>
      </c>
      <c r="G10" s="6" t="s">
        <v>482</v>
      </c>
      <c r="H10" s="6" t="s">
        <v>483</v>
      </c>
      <c r="I10" s="6" t="s">
        <v>488</v>
      </c>
    </row>
    <row r="11" spans="1:9" x14ac:dyDescent="0.25">
      <c r="A11" s="10" t="s">
        <v>448</v>
      </c>
      <c r="C11" s="10" t="s">
        <v>462</v>
      </c>
      <c r="E11" s="6" t="s">
        <v>505</v>
      </c>
      <c r="F11" s="6" t="s">
        <v>482</v>
      </c>
      <c r="G11" s="6" t="s">
        <v>483</v>
      </c>
      <c r="H11" s="6" t="s">
        <v>489</v>
      </c>
      <c r="I11" s="6" t="s">
        <v>490</v>
      </c>
    </row>
    <row r="12" spans="1:9" x14ac:dyDescent="0.25">
      <c r="A12" s="10" t="s">
        <v>449</v>
      </c>
      <c r="C12" s="10" t="s">
        <v>463</v>
      </c>
      <c r="E12" s="6" t="s">
        <v>491</v>
      </c>
      <c r="F12" s="6" t="s">
        <v>487</v>
      </c>
      <c r="G12" s="6" t="s">
        <v>482</v>
      </c>
      <c r="H12" s="6" t="s">
        <v>483</v>
      </c>
      <c r="I12" s="6" t="s">
        <v>485</v>
      </c>
    </row>
    <row r="13" spans="1:9" x14ac:dyDescent="0.25">
      <c r="A13" s="10" t="s">
        <v>450</v>
      </c>
      <c r="C13" s="10" t="s">
        <v>464</v>
      </c>
      <c r="E13" s="6" t="s">
        <v>492</v>
      </c>
      <c r="F13" s="6" t="s">
        <v>482</v>
      </c>
      <c r="G13" s="6" t="s">
        <v>482</v>
      </c>
      <c r="H13" s="6" t="s">
        <v>483</v>
      </c>
      <c r="I13" s="6" t="s">
        <v>488</v>
      </c>
    </row>
    <row r="14" spans="1:9" x14ac:dyDescent="0.25">
      <c r="E14" s="1" t="s">
        <v>506</v>
      </c>
    </row>
    <row r="15" spans="1:9" x14ac:dyDescent="0.25">
      <c r="A15" s="4" t="s">
        <v>503</v>
      </c>
      <c r="C15" s="4" t="s">
        <v>465</v>
      </c>
    </row>
    <row r="16" spans="1:9" ht="18" x14ac:dyDescent="0.25">
      <c r="A16" s="10"/>
      <c r="C16" s="10"/>
      <c r="E16" s="7" t="s">
        <v>507</v>
      </c>
    </row>
    <row r="17" spans="1:7" x14ac:dyDescent="0.25">
      <c r="A17" s="10" t="s">
        <v>451</v>
      </c>
      <c r="C17" s="10" t="s">
        <v>466</v>
      </c>
    </row>
    <row r="18" spans="1:7" x14ac:dyDescent="0.25">
      <c r="A18" s="10" t="s">
        <v>452</v>
      </c>
      <c r="C18" s="10" t="s">
        <v>467</v>
      </c>
      <c r="E18" s="4" t="s">
        <v>508</v>
      </c>
    </row>
    <row r="19" spans="1:7" x14ac:dyDescent="0.25">
      <c r="A19" s="10" t="s">
        <v>453</v>
      </c>
      <c r="C19" s="10" t="s">
        <v>468</v>
      </c>
      <c r="E19" s="14" t="s">
        <v>512</v>
      </c>
    </row>
    <row r="20" spans="1:7" x14ac:dyDescent="0.25">
      <c r="A20" s="10" t="s">
        <v>454</v>
      </c>
      <c r="C20" s="10" t="s">
        <v>469</v>
      </c>
      <c r="E20" s="13" t="s">
        <v>510</v>
      </c>
      <c r="F20" s="14"/>
      <c r="G20" s="14"/>
    </row>
    <row r="21" spans="1:7" x14ac:dyDescent="0.25">
      <c r="A21" s="10" t="s">
        <v>455</v>
      </c>
      <c r="C21" s="10" t="s">
        <v>470</v>
      </c>
      <c r="E21" s="13" t="s">
        <v>493</v>
      </c>
      <c r="F21" s="14"/>
      <c r="G21" s="14"/>
    </row>
    <row r="22" spans="1:7" x14ac:dyDescent="0.25">
      <c r="A22" s="10" t="s">
        <v>456</v>
      </c>
      <c r="E22" s="13" t="s">
        <v>494</v>
      </c>
      <c r="F22" s="14"/>
      <c r="G22" s="14"/>
    </row>
    <row r="23" spans="1:7" x14ac:dyDescent="0.25">
      <c r="A23" s="10" t="s">
        <v>457</v>
      </c>
      <c r="E23" s="13" t="s">
        <v>495</v>
      </c>
      <c r="F23" s="14"/>
      <c r="G23" s="14"/>
    </row>
    <row r="24" spans="1:7" x14ac:dyDescent="0.25">
      <c r="E24" s="15" t="s">
        <v>496</v>
      </c>
      <c r="F24" s="14"/>
      <c r="G24" s="14"/>
    </row>
    <row r="25" spans="1:7" x14ac:dyDescent="0.25">
      <c r="E25" s="15" t="s">
        <v>497</v>
      </c>
      <c r="F25" s="14"/>
      <c r="G25" s="14"/>
    </row>
    <row r="26" spans="1:7" x14ac:dyDescent="0.25">
      <c r="E26" s="15" t="s">
        <v>498</v>
      </c>
      <c r="F26" s="14"/>
      <c r="G26" s="14"/>
    </row>
    <row r="27" spans="1:7" x14ac:dyDescent="0.25">
      <c r="E27" s="15" t="s">
        <v>499</v>
      </c>
      <c r="F27" s="14"/>
      <c r="G27" s="14"/>
    </row>
    <row r="29" spans="1:7" x14ac:dyDescent="0.25">
      <c r="E29" s="4" t="s">
        <v>511</v>
      </c>
    </row>
    <row r="30" spans="1:7" x14ac:dyDescent="0.25">
      <c r="E30" s="13" t="s">
        <v>500</v>
      </c>
    </row>
    <row r="31" spans="1:7" x14ac:dyDescent="0.25">
      <c r="E31" s="13" t="s">
        <v>501</v>
      </c>
    </row>
    <row r="34" spans="1:3" ht="18" x14ac:dyDescent="0.25">
      <c r="A34" s="16" t="s">
        <v>2</v>
      </c>
    </row>
    <row r="35" spans="1:3" x14ac:dyDescent="0.25">
      <c r="A35" s="17"/>
    </row>
    <row r="36" spans="1:3" x14ac:dyDescent="0.25">
      <c r="A36" s="18" t="s">
        <v>3</v>
      </c>
      <c r="B36" s="5" t="s">
        <v>4</v>
      </c>
      <c r="C36" s="5" t="s">
        <v>5</v>
      </c>
    </row>
    <row r="37" spans="1:3" x14ac:dyDescent="0.25">
      <c r="A37" s="6">
        <v>0</v>
      </c>
      <c r="B37" s="6" t="s">
        <v>6</v>
      </c>
      <c r="C37" s="1" t="s">
        <v>7</v>
      </c>
    </row>
    <row r="38" spans="1:3" x14ac:dyDescent="0.25">
      <c r="A38" s="6">
        <v>1</v>
      </c>
      <c r="B38" s="6" t="s">
        <v>8</v>
      </c>
      <c r="C38" s="1" t="s">
        <v>9</v>
      </c>
    </row>
    <row r="39" spans="1:3" x14ac:dyDescent="0.25">
      <c r="A39" s="6">
        <v>2</v>
      </c>
      <c r="B39" s="6" t="s">
        <v>10</v>
      </c>
      <c r="C39" s="1" t="s">
        <v>11</v>
      </c>
    </row>
    <row r="40" spans="1:3" x14ac:dyDescent="0.25">
      <c r="A40" s="6">
        <v>3</v>
      </c>
      <c r="B40" s="6" t="s">
        <v>12</v>
      </c>
      <c r="C40" s="1" t="s">
        <v>13</v>
      </c>
    </row>
    <row r="41" spans="1:3" x14ac:dyDescent="0.25">
      <c r="A41" s="6">
        <v>4</v>
      </c>
      <c r="B41" s="6" t="s">
        <v>14</v>
      </c>
      <c r="C41" s="1" t="s">
        <v>15</v>
      </c>
    </row>
    <row r="42" spans="1:3" x14ac:dyDescent="0.25">
      <c r="A42" s="6">
        <v>5</v>
      </c>
      <c r="B42" s="6" t="s">
        <v>16</v>
      </c>
      <c r="C42" s="1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8C5AB6-1B90-4542-922B-2DF111E71EC5}">
  <dimension ref="A1:H159"/>
  <sheetViews>
    <sheetView workbookViewId="0">
      <selection activeCell="J9" sqref="J9"/>
    </sheetView>
  </sheetViews>
  <sheetFormatPr defaultColWidth="20.7109375" defaultRowHeight="15" x14ac:dyDescent="0.25"/>
  <cols>
    <col min="4" max="4" width="61.5703125" customWidth="1"/>
  </cols>
  <sheetData>
    <row r="1" spans="1:8" ht="24" x14ac:dyDescent="0.25">
      <c r="A1" s="3" t="s">
        <v>18</v>
      </c>
    </row>
    <row r="3" spans="1:8" ht="24" x14ac:dyDescent="0.25">
      <c r="A3" s="7" t="s">
        <v>19</v>
      </c>
      <c r="F3" s="3" t="s">
        <v>275</v>
      </c>
    </row>
    <row r="5" spans="1:8" x14ac:dyDescent="0.25">
      <c r="A5" s="5" t="s">
        <v>20</v>
      </c>
      <c r="B5" s="5" t="s">
        <v>21</v>
      </c>
      <c r="C5" s="5" t="s">
        <v>22</v>
      </c>
      <c r="D5" s="5" t="s">
        <v>23</v>
      </c>
      <c r="F5" s="5" t="s">
        <v>276</v>
      </c>
      <c r="G5" s="5" t="s">
        <v>277</v>
      </c>
      <c r="H5" s="5" t="s">
        <v>278</v>
      </c>
    </row>
    <row r="6" spans="1:8" ht="30" x14ac:dyDescent="0.25">
      <c r="A6" s="8" t="s">
        <v>24</v>
      </c>
      <c r="B6" s="6" t="s">
        <v>25</v>
      </c>
      <c r="C6" s="6">
        <v>4</v>
      </c>
      <c r="D6" s="6" t="s">
        <v>26</v>
      </c>
      <c r="F6" s="6" t="s">
        <v>279</v>
      </c>
      <c r="G6" s="6">
        <v>3</v>
      </c>
      <c r="H6" s="6" t="s">
        <v>280</v>
      </c>
    </row>
    <row r="7" spans="1:8" ht="30" x14ac:dyDescent="0.25">
      <c r="A7" s="6"/>
      <c r="B7" s="6" t="s">
        <v>27</v>
      </c>
      <c r="C7" s="6">
        <v>4</v>
      </c>
      <c r="D7" s="6" t="s">
        <v>28</v>
      </c>
      <c r="F7" s="6" t="s">
        <v>281</v>
      </c>
      <c r="G7" s="6">
        <v>2.8</v>
      </c>
      <c r="H7" s="6" t="s">
        <v>282</v>
      </c>
    </row>
    <row r="8" spans="1:8" ht="30" x14ac:dyDescent="0.25">
      <c r="A8" s="6"/>
      <c r="B8" s="6" t="s">
        <v>29</v>
      </c>
      <c r="C8" s="6">
        <v>4</v>
      </c>
      <c r="D8" s="6" t="s">
        <v>30</v>
      </c>
      <c r="F8" s="6" t="s">
        <v>283</v>
      </c>
      <c r="G8" s="6">
        <v>4</v>
      </c>
      <c r="H8" s="6" t="s">
        <v>284</v>
      </c>
    </row>
    <row r="9" spans="1:8" ht="30" x14ac:dyDescent="0.25">
      <c r="A9" s="6"/>
      <c r="B9" s="6" t="s">
        <v>31</v>
      </c>
      <c r="C9" s="6">
        <v>3</v>
      </c>
      <c r="D9" s="6" t="s">
        <v>32</v>
      </c>
      <c r="F9" s="6" t="s">
        <v>285</v>
      </c>
      <c r="G9" s="6">
        <v>2.4</v>
      </c>
      <c r="H9" s="6" t="s">
        <v>10</v>
      </c>
    </row>
    <row r="10" spans="1:8" ht="30" x14ac:dyDescent="0.25">
      <c r="A10" s="8" t="s">
        <v>33</v>
      </c>
      <c r="B10" s="6" t="s">
        <v>34</v>
      </c>
      <c r="C10" s="6">
        <v>5</v>
      </c>
      <c r="D10" s="6" t="s">
        <v>35</v>
      </c>
      <c r="F10" s="6" t="s">
        <v>286</v>
      </c>
      <c r="G10" s="6">
        <v>2.5</v>
      </c>
      <c r="H10" s="6" t="s">
        <v>10</v>
      </c>
    </row>
    <row r="11" spans="1:8" ht="30" x14ac:dyDescent="0.25">
      <c r="A11" s="6"/>
      <c r="B11" s="6" t="s">
        <v>36</v>
      </c>
      <c r="C11" s="6">
        <v>2</v>
      </c>
      <c r="D11" s="6" t="s">
        <v>37</v>
      </c>
      <c r="F11" s="6" t="s">
        <v>287</v>
      </c>
      <c r="G11" s="6">
        <v>2.1</v>
      </c>
      <c r="H11" s="6" t="s">
        <v>10</v>
      </c>
    </row>
    <row r="12" spans="1:8" x14ac:dyDescent="0.25">
      <c r="A12" s="6"/>
      <c r="B12" s="6" t="s">
        <v>38</v>
      </c>
      <c r="C12" s="6">
        <v>1</v>
      </c>
      <c r="D12" s="6" t="s">
        <v>39</v>
      </c>
      <c r="F12" s="6" t="s">
        <v>288</v>
      </c>
      <c r="G12" s="6">
        <v>3.3</v>
      </c>
      <c r="H12" s="6" t="s">
        <v>12</v>
      </c>
    </row>
    <row r="13" spans="1:8" ht="30" x14ac:dyDescent="0.25">
      <c r="A13" s="6"/>
      <c r="B13" s="6" t="s">
        <v>40</v>
      </c>
      <c r="C13" s="6">
        <v>4</v>
      </c>
      <c r="D13" s="6" t="s">
        <v>41</v>
      </c>
      <c r="F13" s="8" t="s">
        <v>289</v>
      </c>
      <c r="G13" s="8">
        <v>2.9</v>
      </c>
      <c r="H13" s="8" t="s">
        <v>282</v>
      </c>
    </row>
    <row r="14" spans="1:8" x14ac:dyDescent="0.25">
      <c r="A14" s="6"/>
      <c r="B14" s="6" t="s">
        <v>42</v>
      </c>
      <c r="C14" s="6">
        <v>3</v>
      </c>
      <c r="D14" s="6" t="s">
        <v>43</v>
      </c>
    </row>
    <row r="15" spans="1:8" ht="30" x14ac:dyDescent="0.25">
      <c r="A15" s="8" t="s">
        <v>44</v>
      </c>
      <c r="B15" s="6" t="s">
        <v>45</v>
      </c>
      <c r="C15" s="6">
        <v>4</v>
      </c>
      <c r="D15" s="6" t="s">
        <v>46</v>
      </c>
    </row>
    <row r="16" spans="1:8" x14ac:dyDescent="0.25">
      <c r="A16" s="6"/>
      <c r="B16" s="6" t="s">
        <v>47</v>
      </c>
      <c r="C16" s="6">
        <v>3</v>
      </c>
      <c r="D16" s="6" t="s">
        <v>48</v>
      </c>
    </row>
    <row r="17" spans="1:4" x14ac:dyDescent="0.25">
      <c r="A17" s="6"/>
      <c r="B17" s="6" t="s">
        <v>49</v>
      </c>
      <c r="C17" s="6">
        <v>2</v>
      </c>
      <c r="D17" s="6" t="s">
        <v>50</v>
      </c>
    </row>
    <row r="18" spans="1:4" x14ac:dyDescent="0.25">
      <c r="A18" s="6"/>
      <c r="B18" s="6" t="s">
        <v>51</v>
      </c>
      <c r="C18" s="6">
        <v>2</v>
      </c>
      <c r="D18" s="6" t="s">
        <v>52</v>
      </c>
    </row>
    <row r="19" spans="1:4" x14ac:dyDescent="0.25">
      <c r="A19" s="6"/>
      <c r="B19" s="6" t="s">
        <v>53</v>
      </c>
      <c r="C19" s="6">
        <v>3</v>
      </c>
      <c r="D19" s="6" t="s">
        <v>54</v>
      </c>
    </row>
    <row r="20" spans="1:4" ht="30" x14ac:dyDescent="0.25">
      <c r="A20" s="6"/>
      <c r="B20" s="6" t="s">
        <v>55</v>
      </c>
      <c r="C20" s="6">
        <v>4</v>
      </c>
      <c r="D20" s="6" t="s">
        <v>56</v>
      </c>
    </row>
    <row r="21" spans="1:4" ht="30" x14ac:dyDescent="0.25">
      <c r="A21" s="8" t="s">
        <v>57</v>
      </c>
      <c r="B21" s="6" t="s">
        <v>58</v>
      </c>
      <c r="C21" s="6">
        <v>3</v>
      </c>
      <c r="D21" s="6" t="s">
        <v>59</v>
      </c>
    </row>
    <row r="22" spans="1:4" x14ac:dyDescent="0.25">
      <c r="A22" s="6"/>
      <c r="B22" s="6" t="s">
        <v>60</v>
      </c>
      <c r="C22" s="6">
        <v>2</v>
      </c>
      <c r="D22" s="6" t="s">
        <v>61</v>
      </c>
    </row>
    <row r="23" spans="1:4" x14ac:dyDescent="0.25">
      <c r="A23" s="6"/>
      <c r="B23" s="6" t="s">
        <v>62</v>
      </c>
      <c r="C23" s="6">
        <v>2</v>
      </c>
      <c r="D23" s="6" t="s">
        <v>63</v>
      </c>
    </row>
    <row r="24" spans="1:4" x14ac:dyDescent="0.25">
      <c r="A24" s="6"/>
      <c r="B24" s="6" t="s">
        <v>64</v>
      </c>
      <c r="C24" s="6">
        <v>1</v>
      </c>
      <c r="D24" s="6" t="s">
        <v>65</v>
      </c>
    </row>
    <row r="25" spans="1:4" ht="30" x14ac:dyDescent="0.25">
      <c r="A25" s="6"/>
      <c r="B25" s="6" t="s">
        <v>66</v>
      </c>
      <c r="C25" s="6">
        <v>2</v>
      </c>
      <c r="D25" s="6" t="s">
        <v>67</v>
      </c>
    </row>
    <row r="26" spans="1:4" x14ac:dyDescent="0.25">
      <c r="A26" s="6"/>
      <c r="B26" s="6" t="s">
        <v>68</v>
      </c>
      <c r="C26" s="6">
        <v>3</v>
      </c>
      <c r="D26" s="6" t="s">
        <v>69</v>
      </c>
    </row>
    <row r="27" spans="1:4" x14ac:dyDescent="0.25">
      <c r="A27" s="8" t="s">
        <v>70</v>
      </c>
      <c r="B27" s="6" t="s">
        <v>71</v>
      </c>
      <c r="C27" s="6">
        <v>4</v>
      </c>
      <c r="D27" s="6" t="s">
        <v>72</v>
      </c>
    </row>
    <row r="28" spans="1:4" x14ac:dyDescent="0.25">
      <c r="A28" s="6"/>
      <c r="B28" s="6" t="s">
        <v>73</v>
      </c>
      <c r="C28" s="6">
        <v>4</v>
      </c>
      <c r="D28" s="6" t="s">
        <v>74</v>
      </c>
    </row>
    <row r="29" spans="1:4" x14ac:dyDescent="0.25">
      <c r="A29" s="6"/>
      <c r="B29" s="6" t="s">
        <v>75</v>
      </c>
      <c r="C29" s="6">
        <v>3</v>
      </c>
      <c r="D29" s="6" t="s">
        <v>76</v>
      </c>
    </row>
    <row r="30" spans="1:4" x14ac:dyDescent="0.25">
      <c r="A30" s="6"/>
      <c r="B30" s="6" t="s">
        <v>77</v>
      </c>
      <c r="C30" s="6">
        <v>4</v>
      </c>
      <c r="D30" s="6" t="s">
        <v>78</v>
      </c>
    </row>
    <row r="31" spans="1:4" x14ac:dyDescent="0.25">
      <c r="A31" s="6"/>
      <c r="B31" s="6" t="s">
        <v>79</v>
      </c>
      <c r="C31" s="6">
        <v>3</v>
      </c>
      <c r="D31" s="6" t="s">
        <v>80</v>
      </c>
    </row>
    <row r="32" spans="1:4" ht="30" x14ac:dyDescent="0.25">
      <c r="A32" s="6"/>
      <c r="B32" s="6" t="s">
        <v>81</v>
      </c>
      <c r="C32" s="6">
        <v>3</v>
      </c>
      <c r="D32" s="6" t="s">
        <v>82</v>
      </c>
    </row>
    <row r="34" spans="1:4" x14ac:dyDescent="0.25">
      <c r="A34" s="4" t="s">
        <v>83</v>
      </c>
    </row>
    <row r="38" spans="1:4" ht="18" x14ac:dyDescent="0.25">
      <c r="A38" s="7" t="s">
        <v>84</v>
      </c>
    </row>
    <row r="40" spans="1:4" x14ac:dyDescent="0.25">
      <c r="A40" s="5" t="s">
        <v>20</v>
      </c>
      <c r="B40" s="5" t="s">
        <v>21</v>
      </c>
      <c r="C40" s="5" t="s">
        <v>22</v>
      </c>
      <c r="D40" s="5" t="s">
        <v>23</v>
      </c>
    </row>
    <row r="41" spans="1:4" x14ac:dyDescent="0.25">
      <c r="A41" s="8" t="s">
        <v>85</v>
      </c>
      <c r="B41" s="6" t="s">
        <v>86</v>
      </c>
      <c r="C41" s="6">
        <v>5</v>
      </c>
      <c r="D41" s="6" t="s">
        <v>87</v>
      </c>
    </row>
    <row r="42" spans="1:4" ht="30" x14ac:dyDescent="0.25">
      <c r="A42" s="6"/>
      <c r="B42" s="6" t="s">
        <v>88</v>
      </c>
      <c r="C42" s="6">
        <v>3</v>
      </c>
      <c r="D42" s="6" t="s">
        <v>89</v>
      </c>
    </row>
    <row r="43" spans="1:4" x14ac:dyDescent="0.25">
      <c r="A43" s="6"/>
      <c r="B43" s="6" t="s">
        <v>90</v>
      </c>
      <c r="C43" s="6">
        <v>2</v>
      </c>
      <c r="D43" s="6" t="s">
        <v>91</v>
      </c>
    </row>
    <row r="44" spans="1:4" ht="30" x14ac:dyDescent="0.25">
      <c r="A44" s="8" t="s">
        <v>92</v>
      </c>
      <c r="B44" s="6" t="s">
        <v>93</v>
      </c>
      <c r="C44" s="6">
        <v>4</v>
      </c>
      <c r="D44" s="6" t="s">
        <v>94</v>
      </c>
    </row>
    <row r="45" spans="1:4" x14ac:dyDescent="0.25">
      <c r="A45" s="6"/>
      <c r="B45" s="6" t="s">
        <v>95</v>
      </c>
      <c r="C45" s="6">
        <v>3</v>
      </c>
      <c r="D45" s="6" t="s">
        <v>96</v>
      </c>
    </row>
    <row r="46" spans="1:4" x14ac:dyDescent="0.25">
      <c r="A46" s="6"/>
      <c r="B46" s="6" t="s">
        <v>97</v>
      </c>
      <c r="C46" s="6">
        <v>5</v>
      </c>
      <c r="D46" s="6" t="s">
        <v>98</v>
      </c>
    </row>
    <row r="47" spans="1:4" ht="30" x14ac:dyDescent="0.25">
      <c r="A47" s="8" t="s">
        <v>99</v>
      </c>
      <c r="B47" s="6" t="s">
        <v>100</v>
      </c>
      <c r="C47" s="6">
        <v>2</v>
      </c>
      <c r="D47" s="6" t="s">
        <v>101</v>
      </c>
    </row>
    <row r="48" spans="1:4" ht="30" x14ac:dyDescent="0.25">
      <c r="A48" s="6"/>
      <c r="B48" s="6" t="s">
        <v>102</v>
      </c>
      <c r="C48" s="6">
        <v>2</v>
      </c>
      <c r="D48" s="6" t="s">
        <v>103</v>
      </c>
    </row>
    <row r="49" spans="1:4" x14ac:dyDescent="0.25">
      <c r="A49" s="6"/>
      <c r="B49" s="6" t="s">
        <v>104</v>
      </c>
      <c r="C49" s="6">
        <v>3</v>
      </c>
      <c r="D49" s="6" t="s">
        <v>105</v>
      </c>
    </row>
    <row r="50" spans="1:4" ht="30" x14ac:dyDescent="0.25">
      <c r="A50" s="8" t="s">
        <v>106</v>
      </c>
      <c r="B50" s="6" t="s">
        <v>107</v>
      </c>
      <c r="C50" s="6">
        <v>1</v>
      </c>
      <c r="D50" s="6" t="s">
        <v>108</v>
      </c>
    </row>
    <row r="51" spans="1:4" ht="30" x14ac:dyDescent="0.25">
      <c r="A51" s="6"/>
      <c r="B51" s="6" t="s">
        <v>109</v>
      </c>
      <c r="C51" s="6">
        <v>2</v>
      </c>
      <c r="D51" s="6" t="s">
        <v>110</v>
      </c>
    </row>
    <row r="52" spans="1:4" ht="30" x14ac:dyDescent="0.25">
      <c r="A52" s="6"/>
      <c r="B52" s="6" t="s">
        <v>111</v>
      </c>
      <c r="C52" s="6">
        <v>1</v>
      </c>
      <c r="D52" s="6" t="s">
        <v>112</v>
      </c>
    </row>
    <row r="54" spans="1:4" x14ac:dyDescent="0.25">
      <c r="A54" s="4" t="s">
        <v>113</v>
      </c>
    </row>
    <row r="58" spans="1:4" ht="18" x14ac:dyDescent="0.25">
      <c r="A58" s="7" t="s">
        <v>114</v>
      </c>
    </row>
    <row r="60" spans="1:4" x14ac:dyDescent="0.25">
      <c r="A60" s="5" t="s">
        <v>20</v>
      </c>
      <c r="B60" s="5" t="s">
        <v>21</v>
      </c>
      <c r="C60" s="5" t="s">
        <v>22</v>
      </c>
      <c r="D60" s="5" t="s">
        <v>23</v>
      </c>
    </row>
    <row r="61" spans="1:4" ht="30" x14ac:dyDescent="0.25">
      <c r="A61" s="8" t="s">
        <v>115</v>
      </c>
      <c r="B61" s="6" t="s">
        <v>116</v>
      </c>
      <c r="C61" s="6">
        <v>5</v>
      </c>
      <c r="D61" s="6" t="s">
        <v>117</v>
      </c>
    </row>
    <row r="62" spans="1:4" x14ac:dyDescent="0.25">
      <c r="A62" s="6"/>
      <c r="B62" s="6" t="s">
        <v>118</v>
      </c>
      <c r="C62" s="6">
        <v>4</v>
      </c>
      <c r="D62" s="6" t="s">
        <v>119</v>
      </c>
    </row>
    <row r="63" spans="1:4" x14ac:dyDescent="0.25">
      <c r="A63" s="6"/>
      <c r="B63" s="6" t="s">
        <v>120</v>
      </c>
      <c r="C63" s="6">
        <v>5</v>
      </c>
      <c r="D63" s="6" t="s">
        <v>121</v>
      </c>
    </row>
    <row r="64" spans="1:4" x14ac:dyDescent="0.25">
      <c r="A64" s="8" t="s">
        <v>122</v>
      </c>
      <c r="B64" s="6" t="s">
        <v>123</v>
      </c>
      <c r="C64" s="6">
        <v>3</v>
      </c>
      <c r="D64" s="6" t="s">
        <v>124</v>
      </c>
    </row>
    <row r="65" spans="1:4" x14ac:dyDescent="0.25">
      <c r="A65" s="6"/>
      <c r="B65" s="6" t="s">
        <v>125</v>
      </c>
      <c r="C65" s="6">
        <v>4</v>
      </c>
      <c r="D65" s="6" t="s">
        <v>126</v>
      </c>
    </row>
    <row r="66" spans="1:4" x14ac:dyDescent="0.25">
      <c r="A66" s="6"/>
      <c r="B66" s="6" t="s">
        <v>127</v>
      </c>
      <c r="C66" s="6">
        <v>5</v>
      </c>
      <c r="D66" s="6" t="s">
        <v>128</v>
      </c>
    </row>
    <row r="67" spans="1:4" x14ac:dyDescent="0.25">
      <c r="A67" s="6"/>
      <c r="B67" s="6" t="s">
        <v>129</v>
      </c>
      <c r="C67" s="6">
        <v>3</v>
      </c>
      <c r="D67" s="6" t="s">
        <v>130</v>
      </c>
    </row>
    <row r="68" spans="1:4" x14ac:dyDescent="0.25">
      <c r="A68" s="8" t="s">
        <v>131</v>
      </c>
      <c r="B68" s="6" t="s">
        <v>132</v>
      </c>
      <c r="C68" s="6">
        <v>5</v>
      </c>
      <c r="D68" s="6" t="s">
        <v>133</v>
      </c>
    </row>
    <row r="69" spans="1:4" ht="30" x14ac:dyDescent="0.25">
      <c r="A69" s="6"/>
      <c r="B69" s="6" t="s">
        <v>134</v>
      </c>
      <c r="C69" s="6">
        <v>5</v>
      </c>
      <c r="D69" s="6" t="s">
        <v>135</v>
      </c>
    </row>
    <row r="70" spans="1:4" x14ac:dyDescent="0.25">
      <c r="A70" s="6"/>
      <c r="B70" s="6" t="s">
        <v>136</v>
      </c>
      <c r="C70" s="6">
        <v>5</v>
      </c>
      <c r="D70" s="6" t="s">
        <v>137</v>
      </c>
    </row>
    <row r="71" spans="1:4" x14ac:dyDescent="0.25">
      <c r="A71" s="8" t="s">
        <v>138</v>
      </c>
      <c r="B71" s="6" t="s">
        <v>139</v>
      </c>
      <c r="C71" s="6">
        <v>1</v>
      </c>
      <c r="D71" s="6" t="s">
        <v>140</v>
      </c>
    </row>
    <row r="72" spans="1:4" x14ac:dyDescent="0.25">
      <c r="A72" s="6"/>
      <c r="B72" s="6" t="s">
        <v>141</v>
      </c>
      <c r="C72" s="6">
        <v>2</v>
      </c>
      <c r="D72" s="6" t="s">
        <v>142</v>
      </c>
    </row>
    <row r="73" spans="1:4" x14ac:dyDescent="0.25">
      <c r="A73" s="6"/>
      <c r="B73" s="6" t="s">
        <v>143</v>
      </c>
      <c r="C73" s="6">
        <v>2</v>
      </c>
      <c r="D73" s="6" t="s">
        <v>144</v>
      </c>
    </row>
    <row r="74" spans="1:4" ht="30" x14ac:dyDescent="0.25">
      <c r="A74" s="8" t="s">
        <v>145</v>
      </c>
      <c r="B74" s="6" t="s">
        <v>146</v>
      </c>
      <c r="C74" s="6">
        <v>5</v>
      </c>
      <c r="D74" s="6" t="s">
        <v>147</v>
      </c>
    </row>
    <row r="75" spans="1:4" ht="30" x14ac:dyDescent="0.25">
      <c r="A75" s="6"/>
      <c r="B75" s="6" t="s">
        <v>148</v>
      </c>
      <c r="C75" s="6">
        <v>5</v>
      </c>
      <c r="D75" s="6" t="s">
        <v>149</v>
      </c>
    </row>
    <row r="76" spans="1:4" x14ac:dyDescent="0.25">
      <c r="A76" s="6"/>
      <c r="B76" s="6" t="s">
        <v>150</v>
      </c>
      <c r="C76" s="6">
        <v>5</v>
      </c>
      <c r="D76" s="6" t="s">
        <v>151</v>
      </c>
    </row>
    <row r="78" spans="1:4" x14ac:dyDescent="0.25">
      <c r="A78" s="4" t="s">
        <v>152</v>
      </c>
    </row>
    <row r="82" spans="1:4" ht="18" x14ac:dyDescent="0.25">
      <c r="A82" s="7" t="s">
        <v>153</v>
      </c>
    </row>
    <row r="84" spans="1:4" x14ac:dyDescent="0.25">
      <c r="A84" s="5" t="s">
        <v>20</v>
      </c>
      <c r="B84" s="5" t="s">
        <v>21</v>
      </c>
      <c r="C84" s="5" t="s">
        <v>22</v>
      </c>
      <c r="D84" s="5" t="s">
        <v>23</v>
      </c>
    </row>
    <row r="85" spans="1:4" ht="30" x14ac:dyDescent="0.25">
      <c r="A85" s="8" t="s">
        <v>154</v>
      </c>
      <c r="B85" s="6" t="s">
        <v>155</v>
      </c>
      <c r="C85" s="6">
        <v>4</v>
      </c>
      <c r="D85" s="6" t="s">
        <v>156</v>
      </c>
    </row>
    <row r="86" spans="1:4" x14ac:dyDescent="0.25">
      <c r="A86" s="6"/>
      <c r="B86" s="6" t="s">
        <v>157</v>
      </c>
      <c r="C86" s="6">
        <v>3</v>
      </c>
      <c r="D86" s="6" t="s">
        <v>158</v>
      </c>
    </row>
    <row r="87" spans="1:4" x14ac:dyDescent="0.25">
      <c r="A87" s="6"/>
      <c r="B87" s="6" t="s">
        <v>159</v>
      </c>
      <c r="C87" s="6">
        <v>1</v>
      </c>
      <c r="D87" s="6" t="s">
        <v>160</v>
      </c>
    </row>
    <row r="88" spans="1:4" x14ac:dyDescent="0.25">
      <c r="A88" s="8" t="s">
        <v>161</v>
      </c>
      <c r="B88" s="6" t="s">
        <v>162</v>
      </c>
      <c r="C88" s="6">
        <v>3</v>
      </c>
      <c r="D88" s="6" t="s">
        <v>163</v>
      </c>
    </row>
    <row r="89" spans="1:4" x14ac:dyDescent="0.25">
      <c r="A89" s="6"/>
      <c r="B89" s="6" t="s">
        <v>164</v>
      </c>
      <c r="C89" s="6">
        <v>4</v>
      </c>
      <c r="D89" s="6" t="s">
        <v>165</v>
      </c>
    </row>
    <row r="90" spans="1:4" x14ac:dyDescent="0.25">
      <c r="A90" s="6"/>
      <c r="B90" s="6" t="s">
        <v>166</v>
      </c>
      <c r="C90" s="6">
        <v>0</v>
      </c>
      <c r="D90" s="6" t="s">
        <v>167</v>
      </c>
    </row>
    <row r="91" spans="1:4" x14ac:dyDescent="0.25">
      <c r="A91" s="8" t="s">
        <v>168</v>
      </c>
      <c r="B91" s="6" t="s">
        <v>169</v>
      </c>
      <c r="C91" s="6">
        <v>3</v>
      </c>
      <c r="D91" s="6" t="s">
        <v>170</v>
      </c>
    </row>
    <row r="92" spans="1:4" ht="30" x14ac:dyDescent="0.25">
      <c r="A92" s="6"/>
      <c r="B92" s="6" t="s">
        <v>171</v>
      </c>
      <c r="C92" s="6">
        <v>4</v>
      </c>
      <c r="D92" s="6" t="s">
        <v>172</v>
      </c>
    </row>
    <row r="93" spans="1:4" x14ac:dyDescent="0.25">
      <c r="A93" s="8" t="s">
        <v>173</v>
      </c>
      <c r="B93" s="6" t="s">
        <v>174</v>
      </c>
      <c r="C93" s="6">
        <v>1</v>
      </c>
      <c r="D93" s="6" t="s">
        <v>175</v>
      </c>
    </row>
    <row r="94" spans="1:4" ht="30" x14ac:dyDescent="0.25">
      <c r="A94" s="6"/>
      <c r="B94" s="6" t="s">
        <v>176</v>
      </c>
      <c r="C94" s="6">
        <v>1</v>
      </c>
      <c r="D94" s="6" t="s">
        <v>177</v>
      </c>
    </row>
    <row r="96" spans="1:4" x14ac:dyDescent="0.25">
      <c r="A96" s="4" t="s">
        <v>178</v>
      </c>
    </row>
    <row r="100" spans="1:4" ht="18" x14ac:dyDescent="0.25">
      <c r="A100" s="7" t="s">
        <v>179</v>
      </c>
    </row>
    <row r="102" spans="1:4" x14ac:dyDescent="0.25">
      <c r="A102" s="5" t="s">
        <v>20</v>
      </c>
      <c r="B102" s="5" t="s">
        <v>21</v>
      </c>
      <c r="C102" s="5" t="s">
        <v>22</v>
      </c>
      <c r="D102" s="5" t="s">
        <v>23</v>
      </c>
    </row>
    <row r="103" spans="1:4" ht="30" x14ac:dyDescent="0.25">
      <c r="A103" s="8" t="s">
        <v>180</v>
      </c>
      <c r="B103" s="6" t="s">
        <v>181</v>
      </c>
      <c r="C103" s="6">
        <v>3</v>
      </c>
      <c r="D103" s="6" t="s">
        <v>182</v>
      </c>
    </row>
    <row r="104" spans="1:4" x14ac:dyDescent="0.25">
      <c r="A104" s="6"/>
      <c r="B104" s="6" t="s">
        <v>183</v>
      </c>
      <c r="C104" s="6">
        <v>2</v>
      </c>
      <c r="D104" s="6" t="s">
        <v>184</v>
      </c>
    </row>
    <row r="105" spans="1:4" ht="30" x14ac:dyDescent="0.25">
      <c r="A105" s="6"/>
      <c r="B105" s="6" t="s">
        <v>185</v>
      </c>
      <c r="C105" s="6">
        <v>3</v>
      </c>
      <c r="D105" s="6" t="s">
        <v>186</v>
      </c>
    </row>
    <row r="106" spans="1:4" x14ac:dyDescent="0.25">
      <c r="A106" s="8" t="s">
        <v>187</v>
      </c>
      <c r="B106" s="6" t="s">
        <v>188</v>
      </c>
      <c r="C106" s="6">
        <v>4</v>
      </c>
      <c r="D106" s="6" t="s">
        <v>189</v>
      </c>
    </row>
    <row r="107" spans="1:4" x14ac:dyDescent="0.25">
      <c r="A107" s="6"/>
      <c r="B107" s="6" t="s">
        <v>190</v>
      </c>
      <c r="C107" s="6">
        <v>3</v>
      </c>
      <c r="D107" s="6" t="s">
        <v>191</v>
      </c>
    </row>
    <row r="108" spans="1:4" x14ac:dyDescent="0.25">
      <c r="A108" s="6"/>
      <c r="B108" s="6" t="s">
        <v>192</v>
      </c>
      <c r="C108" s="6">
        <v>4</v>
      </c>
      <c r="D108" s="6" t="s">
        <v>193</v>
      </c>
    </row>
    <row r="109" spans="1:4" x14ac:dyDescent="0.25">
      <c r="A109" s="6"/>
      <c r="B109" s="6" t="s">
        <v>194</v>
      </c>
      <c r="C109" s="6">
        <v>3</v>
      </c>
      <c r="D109" s="6" t="s">
        <v>195</v>
      </c>
    </row>
    <row r="110" spans="1:4" ht="45" x14ac:dyDescent="0.25">
      <c r="A110" s="8" t="s">
        <v>196</v>
      </c>
      <c r="B110" s="6" t="s">
        <v>197</v>
      </c>
      <c r="C110" s="6">
        <v>2</v>
      </c>
      <c r="D110" s="6" t="s">
        <v>198</v>
      </c>
    </row>
    <row r="111" spans="1:4" x14ac:dyDescent="0.25">
      <c r="A111" s="6"/>
      <c r="B111" s="6" t="s">
        <v>199</v>
      </c>
      <c r="C111" s="6">
        <v>2</v>
      </c>
      <c r="D111" s="6" t="s">
        <v>200</v>
      </c>
    </row>
    <row r="112" spans="1:4" x14ac:dyDescent="0.25">
      <c r="A112" s="6"/>
      <c r="B112" s="6" t="s">
        <v>201</v>
      </c>
      <c r="C112" s="6">
        <v>1</v>
      </c>
      <c r="D112" s="6" t="s">
        <v>202</v>
      </c>
    </row>
    <row r="113" spans="1:4" x14ac:dyDescent="0.25">
      <c r="A113" s="8" t="s">
        <v>203</v>
      </c>
      <c r="B113" s="6" t="s">
        <v>204</v>
      </c>
      <c r="C113" s="6">
        <v>2</v>
      </c>
      <c r="D113" s="6" t="s">
        <v>205</v>
      </c>
    </row>
    <row r="114" spans="1:4" x14ac:dyDescent="0.25">
      <c r="A114" s="6"/>
      <c r="B114" s="6" t="s">
        <v>206</v>
      </c>
      <c r="C114" s="6">
        <v>2</v>
      </c>
      <c r="D114" s="6" t="s">
        <v>207</v>
      </c>
    </row>
    <row r="115" spans="1:4" x14ac:dyDescent="0.25">
      <c r="A115" s="6"/>
      <c r="B115" s="6" t="s">
        <v>208</v>
      </c>
      <c r="C115" s="6">
        <v>3</v>
      </c>
      <c r="D115" s="6" t="s">
        <v>209</v>
      </c>
    </row>
    <row r="116" spans="1:4" x14ac:dyDescent="0.25">
      <c r="A116" s="6"/>
      <c r="B116" s="6" t="s">
        <v>210</v>
      </c>
      <c r="C116" s="6">
        <v>1</v>
      </c>
      <c r="D116" s="6" t="s">
        <v>211</v>
      </c>
    </row>
    <row r="118" spans="1:4" x14ac:dyDescent="0.25">
      <c r="A118" s="4" t="s">
        <v>212</v>
      </c>
    </row>
    <row r="122" spans="1:4" ht="18" x14ac:dyDescent="0.25">
      <c r="A122" s="7" t="s">
        <v>213</v>
      </c>
    </row>
    <row r="124" spans="1:4" x14ac:dyDescent="0.25">
      <c r="A124" s="5" t="s">
        <v>20</v>
      </c>
      <c r="B124" s="5" t="s">
        <v>21</v>
      </c>
      <c r="C124" s="5" t="s">
        <v>22</v>
      </c>
      <c r="D124" s="5" t="s">
        <v>23</v>
      </c>
    </row>
    <row r="125" spans="1:4" ht="30" x14ac:dyDescent="0.25">
      <c r="A125" s="8" t="s">
        <v>214</v>
      </c>
      <c r="B125" s="6" t="s">
        <v>215</v>
      </c>
      <c r="C125" s="6">
        <v>2</v>
      </c>
      <c r="D125" s="6" t="s">
        <v>216</v>
      </c>
    </row>
    <row r="126" spans="1:4" x14ac:dyDescent="0.25">
      <c r="A126" s="6"/>
      <c r="B126" s="6" t="s">
        <v>217</v>
      </c>
      <c r="C126" s="6">
        <v>2</v>
      </c>
      <c r="D126" s="6" t="s">
        <v>218</v>
      </c>
    </row>
    <row r="127" spans="1:4" x14ac:dyDescent="0.25">
      <c r="A127" s="6"/>
      <c r="B127" s="6" t="s">
        <v>219</v>
      </c>
      <c r="C127" s="6">
        <v>3</v>
      </c>
      <c r="D127" s="6" t="s">
        <v>220</v>
      </c>
    </row>
    <row r="128" spans="1:4" x14ac:dyDescent="0.25">
      <c r="A128" s="8" t="s">
        <v>221</v>
      </c>
      <c r="B128" s="6" t="s">
        <v>222</v>
      </c>
      <c r="C128" s="6">
        <v>2</v>
      </c>
      <c r="D128" s="6" t="s">
        <v>223</v>
      </c>
    </row>
    <row r="129" spans="1:4" x14ac:dyDescent="0.25">
      <c r="A129" s="6"/>
      <c r="B129" s="6" t="s">
        <v>224</v>
      </c>
      <c r="C129" s="6">
        <v>2</v>
      </c>
      <c r="D129" s="6" t="s">
        <v>225</v>
      </c>
    </row>
    <row r="130" spans="1:4" x14ac:dyDescent="0.25">
      <c r="A130" s="6"/>
      <c r="B130" s="6" t="s">
        <v>226</v>
      </c>
      <c r="C130" s="6">
        <v>3</v>
      </c>
      <c r="D130" s="6" t="s">
        <v>227</v>
      </c>
    </row>
    <row r="131" spans="1:4" ht="30" x14ac:dyDescent="0.25">
      <c r="A131" s="8" t="s">
        <v>228</v>
      </c>
      <c r="B131" s="6" t="s">
        <v>229</v>
      </c>
      <c r="C131" s="6">
        <v>2</v>
      </c>
      <c r="D131" s="6" t="s">
        <v>230</v>
      </c>
    </row>
    <row r="132" spans="1:4" x14ac:dyDescent="0.25">
      <c r="A132" s="6"/>
      <c r="B132" s="6" t="s">
        <v>231</v>
      </c>
      <c r="C132" s="6">
        <v>2</v>
      </c>
      <c r="D132" s="6" t="s">
        <v>232</v>
      </c>
    </row>
    <row r="133" spans="1:4" x14ac:dyDescent="0.25">
      <c r="A133" s="6"/>
      <c r="B133" s="6" t="s">
        <v>233</v>
      </c>
      <c r="C133" s="6">
        <v>1</v>
      </c>
      <c r="D133" s="6" t="s">
        <v>234</v>
      </c>
    </row>
    <row r="134" spans="1:4" ht="30" x14ac:dyDescent="0.25">
      <c r="A134" s="8" t="s">
        <v>235</v>
      </c>
      <c r="B134" s="6" t="s">
        <v>236</v>
      </c>
      <c r="C134" s="6">
        <v>2</v>
      </c>
      <c r="D134" s="6" t="s">
        <v>237</v>
      </c>
    </row>
    <row r="135" spans="1:4" ht="30" x14ac:dyDescent="0.25">
      <c r="A135" s="6"/>
      <c r="B135" s="6" t="s">
        <v>238</v>
      </c>
      <c r="C135" s="6">
        <v>2</v>
      </c>
      <c r="D135" s="6" t="s">
        <v>239</v>
      </c>
    </row>
    <row r="137" spans="1:4" x14ac:dyDescent="0.25">
      <c r="A137" s="4" t="s">
        <v>240</v>
      </c>
    </row>
    <row r="141" spans="1:4" ht="18" x14ac:dyDescent="0.25">
      <c r="A141" s="7" t="s">
        <v>241</v>
      </c>
    </row>
    <row r="143" spans="1:4" x14ac:dyDescent="0.25">
      <c r="A143" s="5" t="s">
        <v>20</v>
      </c>
      <c r="B143" s="5" t="s">
        <v>21</v>
      </c>
      <c r="C143" s="5" t="s">
        <v>22</v>
      </c>
      <c r="D143" s="5" t="s">
        <v>23</v>
      </c>
    </row>
    <row r="144" spans="1:4" ht="30" x14ac:dyDescent="0.25">
      <c r="A144" s="8" t="s">
        <v>242</v>
      </c>
      <c r="B144" s="6" t="s">
        <v>243</v>
      </c>
      <c r="C144" s="6">
        <v>3</v>
      </c>
      <c r="D144" s="6" t="s">
        <v>244</v>
      </c>
    </row>
    <row r="145" spans="1:4" ht="30" x14ac:dyDescent="0.25">
      <c r="A145" s="6"/>
      <c r="B145" s="6" t="s">
        <v>245</v>
      </c>
      <c r="C145" s="6">
        <v>4</v>
      </c>
      <c r="D145" s="6" t="s">
        <v>246</v>
      </c>
    </row>
    <row r="146" spans="1:4" x14ac:dyDescent="0.25">
      <c r="A146" s="6"/>
      <c r="B146" s="6" t="s">
        <v>247</v>
      </c>
      <c r="C146" s="6">
        <v>3</v>
      </c>
      <c r="D146" s="6" t="s">
        <v>248</v>
      </c>
    </row>
    <row r="147" spans="1:4" x14ac:dyDescent="0.25">
      <c r="A147" s="6"/>
      <c r="B147" s="6" t="s">
        <v>249</v>
      </c>
      <c r="C147" s="6">
        <v>4</v>
      </c>
      <c r="D147" s="6" t="s">
        <v>250</v>
      </c>
    </row>
    <row r="148" spans="1:4" x14ac:dyDescent="0.25">
      <c r="A148" s="8" t="s">
        <v>251</v>
      </c>
      <c r="B148" s="6" t="s">
        <v>252</v>
      </c>
      <c r="C148" s="6">
        <v>5</v>
      </c>
      <c r="D148" s="6" t="s">
        <v>253</v>
      </c>
    </row>
    <row r="149" spans="1:4" x14ac:dyDescent="0.25">
      <c r="A149" s="6"/>
      <c r="B149" s="6" t="s">
        <v>254</v>
      </c>
      <c r="C149" s="6">
        <v>4</v>
      </c>
      <c r="D149" s="6" t="s">
        <v>255</v>
      </c>
    </row>
    <row r="150" spans="1:4" ht="30" x14ac:dyDescent="0.25">
      <c r="A150" s="6"/>
      <c r="B150" s="6" t="s">
        <v>256</v>
      </c>
      <c r="C150" s="6">
        <v>4</v>
      </c>
      <c r="D150" s="6" t="s">
        <v>257</v>
      </c>
    </row>
    <row r="151" spans="1:4" x14ac:dyDescent="0.25">
      <c r="A151" s="8" t="s">
        <v>258</v>
      </c>
      <c r="B151" s="6" t="s">
        <v>259</v>
      </c>
      <c r="C151" s="6">
        <v>3</v>
      </c>
      <c r="D151" s="6" t="s">
        <v>260</v>
      </c>
    </row>
    <row r="152" spans="1:4" x14ac:dyDescent="0.25">
      <c r="A152" s="6"/>
      <c r="B152" s="6" t="s">
        <v>261</v>
      </c>
      <c r="C152" s="6">
        <v>2</v>
      </c>
      <c r="D152" s="6" t="s">
        <v>262</v>
      </c>
    </row>
    <row r="153" spans="1:4" x14ac:dyDescent="0.25">
      <c r="A153" s="6"/>
      <c r="B153" s="6" t="s">
        <v>263</v>
      </c>
      <c r="C153" s="6">
        <v>3</v>
      </c>
      <c r="D153" s="6" t="s">
        <v>264</v>
      </c>
    </row>
    <row r="154" spans="1:4" ht="30" x14ac:dyDescent="0.25">
      <c r="A154" s="8" t="s">
        <v>265</v>
      </c>
      <c r="B154" s="6" t="s">
        <v>266</v>
      </c>
      <c r="C154" s="6">
        <v>2</v>
      </c>
      <c r="D154" s="6" t="s">
        <v>267</v>
      </c>
    </row>
    <row r="155" spans="1:4" x14ac:dyDescent="0.25">
      <c r="A155" s="6"/>
      <c r="B155" s="6" t="s">
        <v>268</v>
      </c>
      <c r="C155" s="6">
        <v>2</v>
      </c>
      <c r="D155" s="6" t="s">
        <v>269</v>
      </c>
    </row>
    <row r="156" spans="1:4" x14ac:dyDescent="0.25">
      <c r="A156" s="6"/>
      <c r="B156" s="6" t="s">
        <v>270</v>
      </c>
      <c r="C156" s="6">
        <v>3</v>
      </c>
      <c r="D156" s="6" t="s">
        <v>271</v>
      </c>
    </row>
    <row r="157" spans="1:4" x14ac:dyDescent="0.25">
      <c r="A157" s="6"/>
      <c r="B157" s="6" t="s">
        <v>272</v>
      </c>
      <c r="C157" s="6">
        <v>3</v>
      </c>
      <c r="D157" s="6" t="s">
        <v>273</v>
      </c>
    </row>
    <row r="159" spans="1:4" x14ac:dyDescent="0.25">
      <c r="A159" s="4" t="s">
        <v>274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58A5C7-A874-4623-9042-1E94C63ECBF9}">
  <dimension ref="A1:H173"/>
  <sheetViews>
    <sheetView topLeftCell="A150" workbookViewId="0">
      <selection activeCell="J12" sqref="J12"/>
    </sheetView>
  </sheetViews>
  <sheetFormatPr defaultColWidth="20.7109375" defaultRowHeight="15" x14ac:dyDescent="0.25"/>
  <cols>
    <col min="4" max="4" width="55.85546875" customWidth="1"/>
  </cols>
  <sheetData>
    <row r="1" spans="1:8" ht="24" x14ac:dyDescent="0.25">
      <c r="A1" s="3" t="s">
        <v>290</v>
      </c>
    </row>
    <row r="3" spans="1:8" ht="24" x14ac:dyDescent="0.25">
      <c r="A3" s="7" t="s">
        <v>19</v>
      </c>
      <c r="F3" s="3" t="s">
        <v>401</v>
      </c>
    </row>
    <row r="5" spans="1:8" x14ac:dyDescent="0.25">
      <c r="A5" s="5" t="s">
        <v>20</v>
      </c>
      <c r="B5" s="5" t="s">
        <v>21</v>
      </c>
      <c r="C5" s="5" t="s">
        <v>22</v>
      </c>
      <c r="D5" s="5" t="s">
        <v>23</v>
      </c>
      <c r="F5" s="5" t="s">
        <v>276</v>
      </c>
      <c r="G5" s="5" t="s">
        <v>277</v>
      </c>
      <c r="H5" s="5" t="s">
        <v>278</v>
      </c>
    </row>
    <row r="6" spans="1:8" ht="30" x14ac:dyDescent="0.25">
      <c r="A6" s="8" t="s">
        <v>24</v>
      </c>
      <c r="B6" s="6" t="s">
        <v>25</v>
      </c>
      <c r="C6" s="6">
        <v>4</v>
      </c>
      <c r="D6" s="6" t="s">
        <v>291</v>
      </c>
      <c r="F6" s="6" t="s">
        <v>279</v>
      </c>
      <c r="G6" s="6">
        <v>4.0999999999999996</v>
      </c>
      <c r="H6" s="6" t="s">
        <v>284</v>
      </c>
    </row>
    <row r="7" spans="1:8" ht="30" x14ac:dyDescent="0.25">
      <c r="A7" s="6"/>
      <c r="B7" s="6" t="s">
        <v>27</v>
      </c>
      <c r="C7" s="6">
        <v>5</v>
      </c>
      <c r="D7" s="6" t="s">
        <v>292</v>
      </c>
      <c r="F7" s="6" t="s">
        <v>281</v>
      </c>
      <c r="G7" s="6">
        <v>4.3</v>
      </c>
      <c r="H7" s="6" t="s">
        <v>284</v>
      </c>
    </row>
    <row r="8" spans="1:8" ht="30" x14ac:dyDescent="0.25">
      <c r="A8" s="6"/>
      <c r="B8" s="6" t="s">
        <v>29</v>
      </c>
      <c r="C8" s="6">
        <v>4</v>
      </c>
      <c r="D8" s="6" t="s">
        <v>293</v>
      </c>
      <c r="F8" s="6" t="s">
        <v>283</v>
      </c>
      <c r="G8" s="6">
        <v>2.7</v>
      </c>
      <c r="H8" s="6" t="s">
        <v>282</v>
      </c>
    </row>
    <row r="9" spans="1:8" ht="30" x14ac:dyDescent="0.25">
      <c r="A9" s="6"/>
      <c r="B9" s="6" t="s">
        <v>31</v>
      </c>
      <c r="C9" s="6">
        <v>5</v>
      </c>
      <c r="D9" s="6" t="s">
        <v>294</v>
      </c>
      <c r="F9" s="6" t="s">
        <v>285</v>
      </c>
      <c r="G9" s="6">
        <v>4.8</v>
      </c>
      <c r="H9" s="6" t="s">
        <v>16</v>
      </c>
    </row>
    <row r="10" spans="1:8" ht="30" x14ac:dyDescent="0.25">
      <c r="A10" s="8" t="s">
        <v>33</v>
      </c>
      <c r="B10" s="6" t="s">
        <v>34</v>
      </c>
      <c r="C10" s="6">
        <v>2</v>
      </c>
      <c r="D10" s="6" t="s">
        <v>295</v>
      </c>
      <c r="F10" s="6" t="s">
        <v>286</v>
      </c>
      <c r="G10" s="6">
        <v>4.9000000000000004</v>
      </c>
      <c r="H10" s="6" t="s">
        <v>16</v>
      </c>
    </row>
    <row r="11" spans="1:8" ht="30" x14ac:dyDescent="0.25">
      <c r="A11" s="6"/>
      <c r="B11" s="6" t="s">
        <v>36</v>
      </c>
      <c r="C11" s="6">
        <v>4</v>
      </c>
      <c r="D11" s="6" t="s">
        <v>296</v>
      </c>
      <c r="F11" s="6" t="s">
        <v>287</v>
      </c>
      <c r="G11" s="6">
        <v>4.2</v>
      </c>
      <c r="H11" s="6" t="s">
        <v>284</v>
      </c>
    </row>
    <row r="12" spans="1:8" x14ac:dyDescent="0.25">
      <c r="A12" s="6"/>
      <c r="B12" s="6" t="s">
        <v>38</v>
      </c>
      <c r="C12" s="6">
        <v>5</v>
      </c>
      <c r="D12" s="6" t="s">
        <v>297</v>
      </c>
      <c r="F12" s="6" t="s">
        <v>288</v>
      </c>
      <c r="G12" s="6">
        <v>3.3</v>
      </c>
      <c r="H12" s="6" t="s">
        <v>12</v>
      </c>
    </row>
    <row r="13" spans="1:8" x14ac:dyDescent="0.25">
      <c r="A13" s="6"/>
      <c r="B13" s="6" t="s">
        <v>40</v>
      </c>
      <c r="C13" s="6">
        <v>3</v>
      </c>
      <c r="D13" s="6" t="s">
        <v>298</v>
      </c>
      <c r="F13" s="8" t="s">
        <v>289</v>
      </c>
      <c r="G13" s="8">
        <v>4</v>
      </c>
      <c r="H13" s="8" t="s">
        <v>284</v>
      </c>
    </row>
    <row r="14" spans="1:8" x14ac:dyDescent="0.25">
      <c r="A14" s="6"/>
      <c r="B14" s="6" t="s">
        <v>42</v>
      </c>
      <c r="C14" s="6">
        <v>3</v>
      </c>
      <c r="D14" s="6" t="s">
        <v>299</v>
      </c>
    </row>
    <row r="15" spans="1:8" ht="30" x14ac:dyDescent="0.25">
      <c r="A15" s="8" t="s">
        <v>44</v>
      </c>
      <c r="B15" s="6" t="s">
        <v>45</v>
      </c>
      <c r="C15" s="6">
        <v>3</v>
      </c>
      <c r="D15" s="6" t="s">
        <v>300</v>
      </c>
    </row>
    <row r="16" spans="1:8" x14ac:dyDescent="0.25">
      <c r="A16" s="6"/>
      <c r="B16" s="6" t="s">
        <v>47</v>
      </c>
      <c r="C16" s="6">
        <v>4</v>
      </c>
      <c r="D16" s="6" t="s">
        <v>301</v>
      </c>
    </row>
    <row r="17" spans="1:4" x14ac:dyDescent="0.25">
      <c r="A17" s="6"/>
      <c r="B17" s="6" t="s">
        <v>49</v>
      </c>
      <c r="C17" s="6">
        <v>5</v>
      </c>
      <c r="D17" s="6" t="s">
        <v>302</v>
      </c>
    </row>
    <row r="18" spans="1:4" ht="30" x14ac:dyDescent="0.25">
      <c r="A18" s="6"/>
      <c r="B18" s="6" t="s">
        <v>51</v>
      </c>
      <c r="C18" s="6">
        <v>5</v>
      </c>
      <c r="D18" s="6" t="s">
        <v>303</v>
      </c>
    </row>
    <row r="19" spans="1:4" x14ac:dyDescent="0.25">
      <c r="A19" s="6"/>
      <c r="B19" s="6" t="s">
        <v>53</v>
      </c>
      <c r="C19" s="6">
        <v>5</v>
      </c>
      <c r="D19" s="6" t="s">
        <v>304</v>
      </c>
    </row>
    <row r="20" spans="1:4" ht="30" x14ac:dyDescent="0.25">
      <c r="A20" s="6"/>
      <c r="B20" s="6" t="s">
        <v>55</v>
      </c>
      <c r="C20" s="6">
        <v>3</v>
      </c>
      <c r="D20" s="6" t="s">
        <v>305</v>
      </c>
    </row>
    <row r="21" spans="1:4" ht="30" x14ac:dyDescent="0.25">
      <c r="A21" s="8" t="s">
        <v>57</v>
      </c>
      <c r="B21" s="6" t="s">
        <v>58</v>
      </c>
      <c r="C21" s="6">
        <v>5</v>
      </c>
      <c r="D21" s="6" t="s">
        <v>306</v>
      </c>
    </row>
    <row r="22" spans="1:4" x14ac:dyDescent="0.25">
      <c r="A22" s="6"/>
      <c r="B22" s="6" t="s">
        <v>60</v>
      </c>
      <c r="C22" s="6">
        <v>5</v>
      </c>
      <c r="D22" s="6" t="s">
        <v>307</v>
      </c>
    </row>
    <row r="23" spans="1:4" x14ac:dyDescent="0.25">
      <c r="A23" s="6"/>
      <c r="B23" s="6" t="s">
        <v>62</v>
      </c>
      <c r="C23" s="6">
        <v>5</v>
      </c>
      <c r="D23" s="6" t="s">
        <v>308</v>
      </c>
    </row>
    <row r="24" spans="1:4" x14ac:dyDescent="0.25">
      <c r="A24" s="6"/>
      <c r="B24" s="6" t="s">
        <v>64</v>
      </c>
      <c r="C24" s="6">
        <v>4</v>
      </c>
      <c r="D24" s="6" t="s">
        <v>309</v>
      </c>
    </row>
    <row r="25" spans="1:4" x14ac:dyDescent="0.25">
      <c r="A25" s="6"/>
      <c r="B25" s="6" t="s">
        <v>66</v>
      </c>
      <c r="C25" s="6">
        <v>5</v>
      </c>
      <c r="D25" s="6" t="s">
        <v>310</v>
      </c>
    </row>
    <row r="26" spans="1:4" x14ac:dyDescent="0.25">
      <c r="A26" s="6"/>
      <c r="B26" s="6" t="s">
        <v>68</v>
      </c>
      <c r="C26" s="6">
        <v>4</v>
      </c>
      <c r="D26" s="6" t="s">
        <v>311</v>
      </c>
    </row>
    <row r="27" spans="1:4" x14ac:dyDescent="0.25">
      <c r="A27" s="8" t="s">
        <v>70</v>
      </c>
      <c r="B27" s="6" t="s">
        <v>71</v>
      </c>
      <c r="C27" s="6">
        <v>4</v>
      </c>
      <c r="D27" s="6" t="s">
        <v>312</v>
      </c>
    </row>
    <row r="28" spans="1:4" x14ac:dyDescent="0.25">
      <c r="A28" s="6"/>
      <c r="B28" s="6" t="s">
        <v>73</v>
      </c>
      <c r="C28" s="6">
        <v>4</v>
      </c>
      <c r="D28" s="6" t="s">
        <v>313</v>
      </c>
    </row>
    <row r="29" spans="1:4" x14ac:dyDescent="0.25">
      <c r="A29" s="6"/>
      <c r="B29" s="6" t="s">
        <v>75</v>
      </c>
      <c r="C29" s="6">
        <v>4</v>
      </c>
      <c r="D29" s="6" t="s">
        <v>314</v>
      </c>
    </row>
    <row r="30" spans="1:4" x14ac:dyDescent="0.25">
      <c r="A30" s="6"/>
      <c r="B30" s="6" t="s">
        <v>77</v>
      </c>
      <c r="C30" s="6">
        <v>4</v>
      </c>
      <c r="D30" s="6" t="s">
        <v>315</v>
      </c>
    </row>
    <row r="31" spans="1:4" x14ac:dyDescent="0.25">
      <c r="A31" s="6"/>
      <c r="B31" s="6" t="s">
        <v>79</v>
      </c>
      <c r="C31" s="6">
        <v>4</v>
      </c>
      <c r="D31" s="6" t="s">
        <v>316</v>
      </c>
    </row>
    <row r="32" spans="1:4" x14ac:dyDescent="0.25">
      <c r="A32" s="6"/>
      <c r="B32" s="6" t="s">
        <v>81</v>
      </c>
      <c r="C32" s="6">
        <v>5</v>
      </c>
      <c r="D32" s="6" t="s">
        <v>317</v>
      </c>
    </row>
    <row r="34" spans="1:4" x14ac:dyDescent="0.25">
      <c r="A34" s="4" t="s">
        <v>318</v>
      </c>
    </row>
    <row r="38" spans="1:4" ht="18" x14ac:dyDescent="0.25">
      <c r="A38" s="7" t="s">
        <v>84</v>
      </c>
    </row>
    <row r="40" spans="1:4" x14ac:dyDescent="0.25">
      <c r="A40" s="5" t="s">
        <v>20</v>
      </c>
      <c r="B40" s="5" t="s">
        <v>21</v>
      </c>
      <c r="C40" s="5" t="s">
        <v>22</v>
      </c>
      <c r="D40" s="5" t="s">
        <v>23</v>
      </c>
    </row>
    <row r="41" spans="1:4" x14ac:dyDescent="0.25">
      <c r="A41" s="8" t="s">
        <v>85</v>
      </c>
      <c r="B41" s="6" t="s">
        <v>86</v>
      </c>
      <c r="C41" s="6">
        <v>2</v>
      </c>
      <c r="D41" s="6" t="s">
        <v>319</v>
      </c>
    </row>
    <row r="42" spans="1:4" x14ac:dyDescent="0.25">
      <c r="A42" s="6"/>
      <c r="B42" s="6" t="s">
        <v>88</v>
      </c>
      <c r="C42" s="6">
        <v>5</v>
      </c>
      <c r="D42" s="6" t="s">
        <v>320</v>
      </c>
    </row>
    <row r="43" spans="1:4" x14ac:dyDescent="0.25">
      <c r="A43" s="6"/>
      <c r="B43" s="6" t="s">
        <v>90</v>
      </c>
      <c r="C43" s="6">
        <v>5</v>
      </c>
      <c r="D43" s="6" t="s">
        <v>321</v>
      </c>
    </row>
    <row r="44" spans="1:4" ht="30" x14ac:dyDescent="0.25">
      <c r="A44" s="8" t="s">
        <v>92</v>
      </c>
      <c r="B44" s="6" t="s">
        <v>93</v>
      </c>
      <c r="C44" s="6">
        <v>4</v>
      </c>
      <c r="D44" s="6" t="s">
        <v>322</v>
      </c>
    </row>
    <row r="45" spans="1:4" x14ac:dyDescent="0.25">
      <c r="A45" s="6"/>
      <c r="B45" s="6" t="s">
        <v>95</v>
      </c>
      <c r="C45" s="6">
        <v>5</v>
      </c>
      <c r="D45" s="6" t="s">
        <v>323</v>
      </c>
    </row>
    <row r="46" spans="1:4" x14ac:dyDescent="0.25">
      <c r="A46" s="6"/>
      <c r="B46" s="6" t="s">
        <v>97</v>
      </c>
      <c r="C46" s="6">
        <v>3</v>
      </c>
      <c r="D46" s="6" t="s">
        <v>324</v>
      </c>
    </row>
    <row r="47" spans="1:4" ht="30" x14ac:dyDescent="0.25">
      <c r="A47" s="8" t="s">
        <v>99</v>
      </c>
      <c r="B47" s="6" t="s">
        <v>100</v>
      </c>
      <c r="C47" s="6">
        <v>5</v>
      </c>
      <c r="D47" s="6" t="s">
        <v>325</v>
      </c>
    </row>
    <row r="48" spans="1:4" ht="30" x14ac:dyDescent="0.25">
      <c r="A48" s="6"/>
      <c r="B48" s="6" t="s">
        <v>102</v>
      </c>
      <c r="C48" s="6">
        <v>5</v>
      </c>
      <c r="D48" s="6" t="s">
        <v>326</v>
      </c>
    </row>
    <row r="49" spans="1:4" x14ac:dyDescent="0.25">
      <c r="A49" s="6"/>
      <c r="B49" s="6" t="s">
        <v>104</v>
      </c>
      <c r="C49" s="6">
        <v>5</v>
      </c>
      <c r="D49" s="6" t="s">
        <v>327</v>
      </c>
    </row>
    <row r="50" spans="1:4" ht="30" x14ac:dyDescent="0.25">
      <c r="A50" s="8" t="s">
        <v>106</v>
      </c>
      <c r="B50" s="6" t="s">
        <v>107</v>
      </c>
      <c r="C50" s="6">
        <v>5</v>
      </c>
      <c r="D50" s="6" t="s">
        <v>328</v>
      </c>
    </row>
    <row r="51" spans="1:4" ht="30" x14ac:dyDescent="0.25">
      <c r="A51" s="6"/>
      <c r="B51" s="6" t="s">
        <v>109</v>
      </c>
      <c r="C51" s="6">
        <v>4</v>
      </c>
      <c r="D51" s="6" t="s">
        <v>329</v>
      </c>
    </row>
    <row r="52" spans="1:4" ht="30" x14ac:dyDescent="0.25">
      <c r="A52" s="6"/>
      <c r="B52" s="6" t="s">
        <v>111</v>
      </c>
      <c r="C52" s="6">
        <v>4</v>
      </c>
      <c r="D52" s="6" t="s">
        <v>330</v>
      </c>
    </row>
    <row r="54" spans="1:4" x14ac:dyDescent="0.25">
      <c r="A54" s="4" t="s">
        <v>331</v>
      </c>
    </row>
    <row r="58" spans="1:4" ht="18" x14ac:dyDescent="0.25">
      <c r="A58" s="7" t="s">
        <v>114</v>
      </c>
    </row>
    <row r="60" spans="1:4" x14ac:dyDescent="0.25">
      <c r="A60" s="5" t="s">
        <v>20</v>
      </c>
      <c r="B60" s="5" t="s">
        <v>21</v>
      </c>
      <c r="C60" s="5" t="s">
        <v>22</v>
      </c>
      <c r="D60" s="5" t="s">
        <v>23</v>
      </c>
    </row>
    <row r="61" spans="1:4" ht="30" x14ac:dyDescent="0.25">
      <c r="A61" s="8" t="s">
        <v>115</v>
      </c>
      <c r="B61" s="6" t="s">
        <v>116</v>
      </c>
      <c r="C61" s="6">
        <v>2</v>
      </c>
      <c r="D61" s="6" t="s">
        <v>332</v>
      </c>
    </row>
    <row r="62" spans="1:4" x14ac:dyDescent="0.25">
      <c r="A62" s="6"/>
      <c r="B62" s="6" t="s">
        <v>118</v>
      </c>
      <c r="C62" s="6">
        <v>3</v>
      </c>
      <c r="D62" s="6" t="s">
        <v>333</v>
      </c>
    </row>
    <row r="63" spans="1:4" x14ac:dyDescent="0.25">
      <c r="A63" s="6"/>
      <c r="B63" s="6" t="s">
        <v>120</v>
      </c>
      <c r="C63" s="6">
        <v>2</v>
      </c>
      <c r="D63" s="6" t="s">
        <v>334</v>
      </c>
    </row>
    <row r="64" spans="1:4" x14ac:dyDescent="0.25">
      <c r="A64" s="8" t="s">
        <v>122</v>
      </c>
      <c r="B64" s="6" t="s">
        <v>123</v>
      </c>
      <c r="C64" s="6">
        <v>3</v>
      </c>
      <c r="D64" s="6" t="s">
        <v>335</v>
      </c>
    </row>
    <row r="65" spans="1:4" x14ac:dyDescent="0.25">
      <c r="A65" s="6"/>
      <c r="B65" s="6" t="s">
        <v>125</v>
      </c>
      <c r="C65" s="6">
        <v>3</v>
      </c>
      <c r="D65" s="6" t="s">
        <v>336</v>
      </c>
    </row>
    <row r="66" spans="1:4" x14ac:dyDescent="0.25">
      <c r="A66" s="6"/>
      <c r="B66" s="6" t="s">
        <v>127</v>
      </c>
      <c r="C66" s="6">
        <v>2</v>
      </c>
      <c r="D66" s="6" t="s">
        <v>337</v>
      </c>
    </row>
    <row r="67" spans="1:4" x14ac:dyDescent="0.25">
      <c r="A67" s="6"/>
      <c r="B67" s="6" t="s">
        <v>129</v>
      </c>
      <c r="C67" s="6">
        <v>3</v>
      </c>
      <c r="D67" s="6" t="s">
        <v>338</v>
      </c>
    </row>
    <row r="68" spans="1:4" x14ac:dyDescent="0.25">
      <c r="A68" s="8" t="s">
        <v>131</v>
      </c>
      <c r="B68" s="6" t="s">
        <v>132</v>
      </c>
      <c r="C68" s="6">
        <v>1</v>
      </c>
      <c r="D68" s="6" t="s">
        <v>339</v>
      </c>
    </row>
    <row r="69" spans="1:4" ht="30" x14ac:dyDescent="0.25">
      <c r="A69" s="6"/>
      <c r="B69" s="6" t="s">
        <v>134</v>
      </c>
      <c r="C69" s="6">
        <v>2</v>
      </c>
      <c r="D69" s="6" t="s">
        <v>340</v>
      </c>
    </row>
    <row r="70" spans="1:4" x14ac:dyDescent="0.25">
      <c r="A70" s="6"/>
      <c r="B70" s="6" t="s">
        <v>136</v>
      </c>
      <c r="C70" s="6">
        <v>1</v>
      </c>
      <c r="D70" s="6" t="s">
        <v>341</v>
      </c>
    </row>
    <row r="71" spans="1:4" x14ac:dyDescent="0.25">
      <c r="A71" s="8" t="s">
        <v>138</v>
      </c>
      <c r="B71" s="6" t="s">
        <v>139</v>
      </c>
      <c r="C71" s="6">
        <v>5</v>
      </c>
      <c r="D71" s="6" t="s">
        <v>342</v>
      </c>
    </row>
    <row r="72" spans="1:4" x14ac:dyDescent="0.25">
      <c r="A72" s="6"/>
      <c r="B72" s="6" t="s">
        <v>141</v>
      </c>
      <c r="C72" s="6">
        <v>5</v>
      </c>
      <c r="D72" s="6" t="s">
        <v>343</v>
      </c>
    </row>
    <row r="73" spans="1:4" x14ac:dyDescent="0.25">
      <c r="A73" s="6"/>
      <c r="B73" s="6" t="s">
        <v>143</v>
      </c>
      <c r="C73" s="6">
        <v>5</v>
      </c>
      <c r="D73" s="6" t="s">
        <v>344</v>
      </c>
    </row>
    <row r="74" spans="1:4" ht="30" x14ac:dyDescent="0.25">
      <c r="A74" s="8" t="s">
        <v>145</v>
      </c>
      <c r="B74" s="6" t="s">
        <v>146</v>
      </c>
      <c r="C74" s="6">
        <v>3</v>
      </c>
      <c r="D74" s="6" t="s">
        <v>345</v>
      </c>
    </row>
    <row r="75" spans="1:4" ht="30" x14ac:dyDescent="0.25">
      <c r="A75" s="6"/>
      <c r="B75" s="6" t="s">
        <v>148</v>
      </c>
      <c r="C75" s="6">
        <v>2</v>
      </c>
      <c r="D75" s="6" t="s">
        <v>346</v>
      </c>
    </row>
    <row r="76" spans="1:4" x14ac:dyDescent="0.25">
      <c r="A76" s="6"/>
      <c r="B76" s="6" t="s">
        <v>150</v>
      </c>
      <c r="C76" s="6">
        <v>2</v>
      </c>
      <c r="D76" s="6" t="s">
        <v>347</v>
      </c>
    </row>
    <row r="78" spans="1:4" x14ac:dyDescent="0.25">
      <c r="A78" s="4" t="s">
        <v>348</v>
      </c>
    </row>
    <row r="82" spans="1:4" ht="18" x14ac:dyDescent="0.25">
      <c r="A82" s="7" t="s">
        <v>153</v>
      </c>
    </row>
    <row r="84" spans="1:4" x14ac:dyDescent="0.25">
      <c r="A84" s="5" t="s">
        <v>20</v>
      </c>
      <c r="B84" s="5" t="s">
        <v>21</v>
      </c>
      <c r="C84" s="5" t="s">
        <v>22</v>
      </c>
      <c r="D84" s="5" t="s">
        <v>23</v>
      </c>
    </row>
    <row r="85" spans="1:4" ht="30" x14ac:dyDescent="0.25">
      <c r="A85" s="8" t="s">
        <v>154</v>
      </c>
      <c r="B85" s="6" t="s">
        <v>155</v>
      </c>
      <c r="C85" s="6">
        <v>4</v>
      </c>
      <c r="D85" s="6" t="s">
        <v>349</v>
      </c>
    </row>
    <row r="86" spans="1:4" x14ac:dyDescent="0.25">
      <c r="A86" s="6"/>
      <c r="B86" s="6" t="s">
        <v>157</v>
      </c>
      <c r="C86" s="6">
        <v>5</v>
      </c>
      <c r="D86" s="6" t="s">
        <v>350</v>
      </c>
    </row>
    <row r="87" spans="1:4" x14ac:dyDescent="0.25">
      <c r="A87" s="6"/>
      <c r="B87" s="6" t="s">
        <v>159</v>
      </c>
      <c r="C87" s="6">
        <v>5</v>
      </c>
      <c r="D87" s="6" t="s">
        <v>351</v>
      </c>
    </row>
    <row r="88" spans="1:4" x14ac:dyDescent="0.25">
      <c r="A88" s="8" t="s">
        <v>161</v>
      </c>
      <c r="B88" s="6" t="s">
        <v>162</v>
      </c>
      <c r="C88" s="6">
        <v>5</v>
      </c>
      <c r="D88" s="6" t="s">
        <v>352</v>
      </c>
    </row>
    <row r="89" spans="1:4" x14ac:dyDescent="0.25">
      <c r="A89" s="6"/>
      <c r="B89" s="6" t="s">
        <v>164</v>
      </c>
      <c r="C89" s="6">
        <v>4</v>
      </c>
      <c r="D89" s="6" t="s">
        <v>353</v>
      </c>
    </row>
    <row r="90" spans="1:4" x14ac:dyDescent="0.25">
      <c r="A90" s="6"/>
      <c r="B90" s="6" t="s">
        <v>166</v>
      </c>
      <c r="C90" s="6">
        <v>5</v>
      </c>
      <c r="D90" s="6" t="s">
        <v>354</v>
      </c>
    </row>
    <row r="91" spans="1:4" x14ac:dyDescent="0.25">
      <c r="A91" s="8" t="s">
        <v>168</v>
      </c>
      <c r="B91" s="6" t="s">
        <v>169</v>
      </c>
      <c r="C91" s="6">
        <v>5</v>
      </c>
      <c r="D91" s="6" t="s">
        <v>355</v>
      </c>
    </row>
    <row r="92" spans="1:4" ht="30" x14ac:dyDescent="0.25">
      <c r="A92" s="6"/>
      <c r="B92" s="6" t="s">
        <v>171</v>
      </c>
      <c r="C92" s="6">
        <v>5</v>
      </c>
      <c r="D92" s="6" t="s">
        <v>356</v>
      </c>
    </row>
    <row r="93" spans="1:4" x14ac:dyDescent="0.25">
      <c r="A93" s="8" t="s">
        <v>173</v>
      </c>
      <c r="B93" s="6" t="s">
        <v>174</v>
      </c>
      <c r="C93" s="6">
        <v>5</v>
      </c>
      <c r="D93" s="6" t="s">
        <v>357</v>
      </c>
    </row>
    <row r="94" spans="1:4" ht="30" x14ac:dyDescent="0.25">
      <c r="A94" s="6"/>
      <c r="B94" s="6" t="s">
        <v>176</v>
      </c>
      <c r="C94" s="6">
        <v>5</v>
      </c>
      <c r="D94" s="6" t="s">
        <v>358</v>
      </c>
    </row>
    <row r="96" spans="1:4" x14ac:dyDescent="0.25">
      <c r="A96" s="4" t="s">
        <v>359</v>
      </c>
    </row>
    <row r="100" spans="1:4" ht="18" x14ac:dyDescent="0.25">
      <c r="A100" s="7" t="s">
        <v>179</v>
      </c>
    </row>
    <row r="102" spans="1:4" x14ac:dyDescent="0.25">
      <c r="A102" s="5" t="s">
        <v>20</v>
      </c>
      <c r="B102" s="5" t="s">
        <v>21</v>
      </c>
      <c r="C102" s="5" t="s">
        <v>22</v>
      </c>
      <c r="D102" s="5" t="s">
        <v>23</v>
      </c>
    </row>
    <row r="103" spans="1:4" ht="30" x14ac:dyDescent="0.25">
      <c r="A103" s="8" t="s">
        <v>180</v>
      </c>
      <c r="B103" s="6" t="s">
        <v>181</v>
      </c>
      <c r="C103" s="6">
        <v>5</v>
      </c>
      <c r="D103" s="6" t="s">
        <v>360</v>
      </c>
    </row>
    <row r="104" spans="1:4" x14ac:dyDescent="0.25">
      <c r="A104" s="6"/>
      <c r="B104" s="6" t="s">
        <v>183</v>
      </c>
      <c r="C104" s="6">
        <v>5</v>
      </c>
      <c r="D104" s="6" t="s">
        <v>361</v>
      </c>
    </row>
    <row r="105" spans="1:4" ht="30" x14ac:dyDescent="0.25">
      <c r="A105" s="6"/>
      <c r="B105" s="6" t="s">
        <v>185</v>
      </c>
      <c r="C105" s="6">
        <v>5</v>
      </c>
      <c r="D105" s="6" t="s">
        <v>362</v>
      </c>
    </row>
    <row r="106" spans="1:4" x14ac:dyDescent="0.25">
      <c r="A106" s="8" t="s">
        <v>187</v>
      </c>
      <c r="B106" s="6" t="s">
        <v>188</v>
      </c>
      <c r="C106" s="6">
        <v>5</v>
      </c>
      <c r="D106" s="6" t="s">
        <v>363</v>
      </c>
    </row>
    <row r="107" spans="1:4" x14ac:dyDescent="0.25">
      <c r="A107" s="6"/>
      <c r="B107" s="6" t="s">
        <v>190</v>
      </c>
      <c r="C107" s="6">
        <v>5</v>
      </c>
      <c r="D107" s="6" t="s">
        <v>364</v>
      </c>
    </row>
    <row r="108" spans="1:4" x14ac:dyDescent="0.25">
      <c r="A108" s="6"/>
      <c r="B108" s="6" t="s">
        <v>192</v>
      </c>
      <c r="C108" s="6">
        <v>4</v>
      </c>
      <c r="D108" s="6" t="s">
        <v>365</v>
      </c>
    </row>
    <row r="109" spans="1:4" x14ac:dyDescent="0.25">
      <c r="A109" s="6"/>
      <c r="B109" s="6" t="s">
        <v>194</v>
      </c>
      <c r="C109" s="6">
        <v>5</v>
      </c>
      <c r="D109" s="6" t="s">
        <v>366</v>
      </c>
    </row>
    <row r="110" spans="1:4" ht="45" x14ac:dyDescent="0.25">
      <c r="A110" s="8" t="s">
        <v>196</v>
      </c>
      <c r="B110" s="6" t="s">
        <v>197</v>
      </c>
      <c r="C110" s="6">
        <v>5</v>
      </c>
      <c r="D110" s="6" t="s">
        <v>367</v>
      </c>
    </row>
    <row r="111" spans="1:4" x14ac:dyDescent="0.25">
      <c r="A111" s="6"/>
      <c r="B111" s="6" t="s">
        <v>199</v>
      </c>
      <c r="C111" s="6">
        <v>5</v>
      </c>
      <c r="D111" s="6" t="s">
        <v>368</v>
      </c>
    </row>
    <row r="112" spans="1:4" x14ac:dyDescent="0.25">
      <c r="A112" s="6"/>
      <c r="B112" s="6" t="s">
        <v>201</v>
      </c>
      <c r="C112" s="6">
        <v>5</v>
      </c>
      <c r="D112" s="6" t="s">
        <v>369</v>
      </c>
    </row>
    <row r="113" spans="1:4" x14ac:dyDescent="0.25">
      <c r="A113" s="8" t="s">
        <v>203</v>
      </c>
      <c r="B113" s="6" t="s">
        <v>204</v>
      </c>
      <c r="C113" s="6">
        <v>5</v>
      </c>
      <c r="D113" s="6" t="s">
        <v>370</v>
      </c>
    </row>
    <row r="114" spans="1:4" x14ac:dyDescent="0.25">
      <c r="A114" s="6"/>
      <c r="B114" s="6" t="s">
        <v>206</v>
      </c>
      <c r="C114" s="6">
        <v>5</v>
      </c>
      <c r="D114" s="6" t="s">
        <v>371</v>
      </c>
    </row>
    <row r="115" spans="1:4" x14ac:dyDescent="0.25">
      <c r="A115" s="6"/>
      <c r="B115" s="6" t="s">
        <v>208</v>
      </c>
      <c r="C115" s="6">
        <v>4</v>
      </c>
      <c r="D115" s="6" t="s">
        <v>372</v>
      </c>
    </row>
    <row r="116" spans="1:4" x14ac:dyDescent="0.25">
      <c r="A116" s="6"/>
      <c r="B116" s="6" t="s">
        <v>210</v>
      </c>
      <c r="C116" s="6">
        <v>5</v>
      </c>
      <c r="D116" s="6" t="s">
        <v>373</v>
      </c>
    </row>
    <row r="118" spans="1:4" x14ac:dyDescent="0.25">
      <c r="A118" s="4" t="s">
        <v>374</v>
      </c>
    </row>
    <row r="122" spans="1:4" ht="18" x14ac:dyDescent="0.25">
      <c r="A122" s="7" t="s">
        <v>213</v>
      </c>
    </row>
    <row r="124" spans="1:4" x14ac:dyDescent="0.25">
      <c r="A124" s="5" t="s">
        <v>20</v>
      </c>
      <c r="B124" s="5" t="s">
        <v>21</v>
      </c>
      <c r="C124" s="5" t="s">
        <v>22</v>
      </c>
      <c r="D124" s="5" t="s">
        <v>23</v>
      </c>
    </row>
    <row r="125" spans="1:4" ht="30" x14ac:dyDescent="0.25">
      <c r="A125" s="8" t="s">
        <v>214</v>
      </c>
      <c r="B125" s="6" t="s">
        <v>215</v>
      </c>
      <c r="C125" s="6">
        <v>5</v>
      </c>
      <c r="D125" s="6" t="s">
        <v>375</v>
      </c>
    </row>
    <row r="126" spans="1:4" x14ac:dyDescent="0.25">
      <c r="A126" s="6"/>
      <c r="B126" s="6" t="s">
        <v>217</v>
      </c>
      <c r="C126" s="6">
        <v>5</v>
      </c>
      <c r="D126" s="6" t="s">
        <v>376</v>
      </c>
    </row>
    <row r="127" spans="1:4" x14ac:dyDescent="0.25">
      <c r="A127" s="6"/>
      <c r="B127" s="6" t="s">
        <v>219</v>
      </c>
      <c r="C127" s="6">
        <v>5</v>
      </c>
      <c r="D127" s="6" t="s">
        <v>377</v>
      </c>
    </row>
    <row r="128" spans="1:4" x14ac:dyDescent="0.25">
      <c r="A128" s="8" t="s">
        <v>221</v>
      </c>
      <c r="B128" s="6" t="s">
        <v>222</v>
      </c>
      <c r="C128" s="6">
        <v>4</v>
      </c>
      <c r="D128" s="6" t="s">
        <v>378</v>
      </c>
    </row>
    <row r="129" spans="1:4" x14ac:dyDescent="0.25">
      <c r="A129" s="6"/>
      <c r="B129" s="6" t="s">
        <v>224</v>
      </c>
      <c r="C129" s="6">
        <v>4</v>
      </c>
      <c r="D129" s="6" t="s">
        <v>379</v>
      </c>
    </row>
    <row r="130" spans="1:4" x14ac:dyDescent="0.25">
      <c r="A130" s="6"/>
      <c r="B130" s="6" t="s">
        <v>226</v>
      </c>
      <c r="C130" s="6">
        <v>4</v>
      </c>
      <c r="D130" s="6" t="s">
        <v>380</v>
      </c>
    </row>
    <row r="131" spans="1:4" ht="30" x14ac:dyDescent="0.25">
      <c r="A131" s="8" t="s">
        <v>228</v>
      </c>
      <c r="B131" s="6" t="s">
        <v>229</v>
      </c>
      <c r="C131" s="6">
        <v>4</v>
      </c>
      <c r="D131" s="6" t="s">
        <v>381</v>
      </c>
    </row>
    <row r="132" spans="1:4" x14ac:dyDescent="0.25">
      <c r="A132" s="6"/>
      <c r="B132" s="6" t="s">
        <v>231</v>
      </c>
      <c r="C132" s="6">
        <v>4</v>
      </c>
      <c r="D132" s="6" t="s">
        <v>382</v>
      </c>
    </row>
    <row r="133" spans="1:4" x14ac:dyDescent="0.25">
      <c r="A133" s="6"/>
      <c r="B133" s="6" t="s">
        <v>233</v>
      </c>
      <c r="C133" s="6">
        <v>4</v>
      </c>
      <c r="D133" s="6" t="s">
        <v>383</v>
      </c>
    </row>
    <row r="134" spans="1:4" ht="30" x14ac:dyDescent="0.25">
      <c r="A134" s="8" t="s">
        <v>235</v>
      </c>
      <c r="B134" s="6" t="s">
        <v>236</v>
      </c>
      <c r="C134" s="6">
        <v>3</v>
      </c>
      <c r="D134" s="6" t="s">
        <v>384</v>
      </c>
    </row>
    <row r="135" spans="1:4" ht="30" x14ac:dyDescent="0.25">
      <c r="A135" s="6"/>
      <c r="B135" s="6" t="s">
        <v>238</v>
      </c>
      <c r="C135" s="6">
        <v>3</v>
      </c>
      <c r="D135" s="6" t="s">
        <v>385</v>
      </c>
    </row>
    <row r="137" spans="1:4" x14ac:dyDescent="0.25">
      <c r="A137" s="4" t="s">
        <v>386</v>
      </c>
    </row>
    <row r="141" spans="1:4" ht="18" x14ac:dyDescent="0.25">
      <c r="A141" s="7" t="s">
        <v>241</v>
      </c>
    </row>
    <row r="143" spans="1:4" x14ac:dyDescent="0.25">
      <c r="A143" s="5" t="s">
        <v>20</v>
      </c>
      <c r="B143" s="5" t="s">
        <v>21</v>
      </c>
      <c r="C143" s="5" t="s">
        <v>22</v>
      </c>
      <c r="D143" s="5" t="s">
        <v>23</v>
      </c>
    </row>
    <row r="144" spans="1:4" ht="30" x14ac:dyDescent="0.25">
      <c r="A144" s="8" t="s">
        <v>242</v>
      </c>
      <c r="B144" s="6" t="s">
        <v>243</v>
      </c>
      <c r="C144" s="6">
        <v>2</v>
      </c>
      <c r="D144" s="6" t="s">
        <v>387</v>
      </c>
    </row>
    <row r="145" spans="1:4" ht="30" x14ac:dyDescent="0.25">
      <c r="A145" s="6"/>
      <c r="B145" s="6" t="s">
        <v>245</v>
      </c>
      <c r="C145" s="6">
        <v>3</v>
      </c>
      <c r="D145" s="6" t="s">
        <v>388</v>
      </c>
    </row>
    <row r="146" spans="1:4" x14ac:dyDescent="0.25">
      <c r="A146" s="6"/>
      <c r="B146" s="6" t="s">
        <v>247</v>
      </c>
      <c r="C146" s="6">
        <v>3</v>
      </c>
      <c r="D146" s="6" t="s">
        <v>389</v>
      </c>
    </row>
    <row r="147" spans="1:4" x14ac:dyDescent="0.25">
      <c r="A147" s="6"/>
      <c r="B147" s="6" t="s">
        <v>249</v>
      </c>
      <c r="C147" s="6">
        <v>4</v>
      </c>
      <c r="D147" s="6" t="s">
        <v>390</v>
      </c>
    </row>
    <row r="148" spans="1:4" x14ac:dyDescent="0.25">
      <c r="A148" s="8" t="s">
        <v>251</v>
      </c>
      <c r="B148" s="6" t="s">
        <v>252</v>
      </c>
      <c r="C148" s="6">
        <v>2</v>
      </c>
      <c r="D148" s="6" t="s">
        <v>391</v>
      </c>
    </row>
    <row r="149" spans="1:4" x14ac:dyDescent="0.25">
      <c r="A149" s="6"/>
      <c r="B149" s="6" t="s">
        <v>254</v>
      </c>
      <c r="C149" s="6">
        <v>5</v>
      </c>
      <c r="D149" s="6" t="s">
        <v>392</v>
      </c>
    </row>
    <row r="150" spans="1:4" ht="30" x14ac:dyDescent="0.25">
      <c r="A150" s="6"/>
      <c r="B150" s="6" t="s">
        <v>256</v>
      </c>
      <c r="C150" s="6">
        <v>4</v>
      </c>
      <c r="D150" s="6" t="s">
        <v>393</v>
      </c>
    </row>
    <row r="151" spans="1:4" x14ac:dyDescent="0.25">
      <c r="A151" s="8" t="s">
        <v>258</v>
      </c>
      <c r="B151" s="6" t="s">
        <v>259</v>
      </c>
      <c r="C151" s="6">
        <v>2</v>
      </c>
      <c r="D151" s="6" t="s">
        <v>394</v>
      </c>
    </row>
    <row r="152" spans="1:4" x14ac:dyDescent="0.25">
      <c r="A152" s="6"/>
      <c r="B152" s="6" t="s">
        <v>261</v>
      </c>
      <c r="C152" s="6">
        <v>3</v>
      </c>
      <c r="D152" s="6" t="s">
        <v>395</v>
      </c>
    </row>
    <row r="153" spans="1:4" x14ac:dyDescent="0.25">
      <c r="A153" s="6"/>
      <c r="B153" s="6" t="s">
        <v>263</v>
      </c>
      <c r="C153" s="6">
        <v>2</v>
      </c>
      <c r="D153" s="6" t="s">
        <v>396</v>
      </c>
    </row>
    <row r="154" spans="1:4" ht="30" x14ac:dyDescent="0.25">
      <c r="A154" s="8" t="s">
        <v>265</v>
      </c>
      <c r="B154" s="6" t="s">
        <v>266</v>
      </c>
      <c r="C154" s="6">
        <v>4</v>
      </c>
      <c r="D154" s="6" t="s">
        <v>397</v>
      </c>
    </row>
    <row r="155" spans="1:4" x14ac:dyDescent="0.25">
      <c r="A155" s="6"/>
      <c r="B155" s="6" t="s">
        <v>268</v>
      </c>
      <c r="C155" s="6">
        <v>4</v>
      </c>
      <c r="D155" s="6" t="s">
        <v>398</v>
      </c>
    </row>
    <row r="156" spans="1:4" x14ac:dyDescent="0.25">
      <c r="A156" s="6"/>
      <c r="B156" s="6" t="s">
        <v>270</v>
      </c>
      <c r="C156" s="6">
        <v>4</v>
      </c>
      <c r="D156" s="6" t="s">
        <v>399</v>
      </c>
    </row>
    <row r="157" spans="1:4" x14ac:dyDescent="0.25">
      <c r="A157" s="6"/>
      <c r="B157" s="6" t="s">
        <v>272</v>
      </c>
      <c r="C157" s="6">
        <v>4</v>
      </c>
      <c r="D157" s="6" t="s">
        <v>400</v>
      </c>
    </row>
    <row r="159" spans="1:4" x14ac:dyDescent="0.25">
      <c r="A159" s="4" t="s">
        <v>274</v>
      </c>
    </row>
    <row r="163" spans="1:3" ht="24" x14ac:dyDescent="0.25">
      <c r="A163" s="3" t="s">
        <v>401</v>
      </c>
    </row>
    <row r="165" spans="1:3" x14ac:dyDescent="0.25">
      <c r="A165" s="5" t="s">
        <v>276</v>
      </c>
      <c r="B165" s="5" t="s">
        <v>277</v>
      </c>
      <c r="C165" s="5" t="s">
        <v>278</v>
      </c>
    </row>
    <row r="166" spans="1:3" ht="30" x14ac:dyDescent="0.25">
      <c r="A166" s="6" t="s">
        <v>279</v>
      </c>
      <c r="B166" s="6">
        <v>4.0999999999999996</v>
      </c>
      <c r="C166" s="6" t="s">
        <v>284</v>
      </c>
    </row>
    <row r="167" spans="1:3" ht="30" x14ac:dyDescent="0.25">
      <c r="A167" s="6" t="s">
        <v>281</v>
      </c>
      <c r="B167" s="6">
        <v>4.3</v>
      </c>
      <c r="C167" s="6" t="s">
        <v>284</v>
      </c>
    </row>
    <row r="168" spans="1:3" ht="30" x14ac:dyDescent="0.25">
      <c r="A168" s="6" t="s">
        <v>283</v>
      </c>
      <c r="B168" s="6">
        <v>2.7</v>
      </c>
      <c r="C168" s="6" t="s">
        <v>282</v>
      </c>
    </row>
    <row r="169" spans="1:3" x14ac:dyDescent="0.25">
      <c r="A169" s="6" t="s">
        <v>285</v>
      </c>
      <c r="B169" s="6">
        <v>4.8</v>
      </c>
      <c r="C169" s="6" t="s">
        <v>16</v>
      </c>
    </row>
    <row r="170" spans="1:3" ht="30" x14ac:dyDescent="0.25">
      <c r="A170" s="6" t="s">
        <v>286</v>
      </c>
      <c r="B170" s="6">
        <v>4.9000000000000004</v>
      </c>
      <c r="C170" s="6" t="s">
        <v>16</v>
      </c>
    </row>
    <row r="171" spans="1:3" ht="30" x14ac:dyDescent="0.25">
      <c r="A171" s="6" t="s">
        <v>287</v>
      </c>
      <c r="B171" s="6">
        <v>4.2</v>
      </c>
      <c r="C171" s="6" t="s">
        <v>284</v>
      </c>
    </row>
    <row r="172" spans="1:3" x14ac:dyDescent="0.25">
      <c r="A172" s="6" t="s">
        <v>288</v>
      </c>
      <c r="B172" s="6">
        <v>3.3</v>
      </c>
      <c r="C172" s="6" t="s">
        <v>12</v>
      </c>
    </row>
    <row r="173" spans="1:3" x14ac:dyDescent="0.25">
      <c r="A173" s="8" t="s">
        <v>289</v>
      </c>
      <c r="B173" s="8">
        <v>4</v>
      </c>
      <c r="C173" s="8" t="s">
        <v>284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16AF89-A296-4EEC-A259-3B685939663E}">
  <dimension ref="A1:F40"/>
  <sheetViews>
    <sheetView workbookViewId="0">
      <selection activeCell="I11" sqref="I11"/>
    </sheetView>
  </sheetViews>
  <sheetFormatPr defaultColWidth="20.7109375" defaultRowHeight="15" x14ac:dyDescent="0.25"/>
  <cols>
    <col min="1" max="1" width="8.85546875" customWidth="1"/>
    <col min="6" max="6" width="47.5703125" customWidth="1"/>
  </cols>
  <sheetData>
    <row r="1" spans="1:6" ht="31.5" x14ac:dyDescent="0.25">
      <c r="A1" s="2" t="s">
        <v>0</v>
      </c>
    </row>
    <row r="3" spans="1:6" ht="24" x14ac:dyDescent="0.25">
      <c r="B3" s="3" t="s">
        <v>402</v>
      </c>
    </row>
    <row r="5" spans="1:6" ht="18" x14ac:dyDescent="0.25">
      <c r="B5" s="7" t="s">
        <v>403</v>
      </c>
    </row>
    <row r="7" spans="1:6" x14ac:dyDescent="0.25">
      <c r="B7" s="5" t="s">
        <v>404</v>
      </c>
      <c r="C7" s="5" t="s">
        <v>405</v>
      </c>
      <c r="D7" s="5" t="s">
        <v>406</v>
      </c>
      <c r="E7" s="5" t="s">
        <v>407</v>
      </c>
      <c r="F7" s="5" t="s">
        <v>408</v>
      </c>
    </row>
    <row r="8" spans="1:6" ht="30" x14ac:dyDescent="0.25">
      <c r="B8" s="6" t="s">
        <v>34</v>
      </c>
      <c r="C8" s="6">
        <v>5</v>
      </c>
      <c r="D8" s="6">
        <v>2</v>
      </c>
      <c r="E8" s="6">
        <v>3</v>
      </c>
      <c r="F8" s="6" t="s">
        <v>409</v>
      </c>
    </row>
    <row r="9" spans="1:6" ht="30" x14ac:dyDescent="0.25">
      <c r="B9" s="6" t="s">
        <v>116</v>
      </c>
      <c r="C9" s="6">
        <v>5</v>
      </c>
      <c r="D9" s="6">
        <v>2</v>
      </c>
      <c r="E9" s="6">
        <v>3</v>
      </c>
      <c r="F9" s="6" t="s">
        <v>410</v>
      </c>
    </row>
    <row r="10" spans="1:6" x14ac:dyDescent="0.25">
      <c r="B10" s="6" t="s">
        <v>132</v>
      </c>
      <c r="C10" s="6">
        <v>5</v>
      </c>
      <c r="D10" s="6">
        <v>1</v>
      </c>
      <c r="E10" s="6">
        <v>4</v>
      </c>
      <c r="F10" s="6" t="s">
        <v>411</v>
      </c>
    </row>
    <row r="11" spans="1:6" x14ac:dyDescent="0.25">
      <c r="B11" s="6" t="s">
        <v>136</v>
      </c>
      <c r="C11" s="6">
        <v>5</v>
      </c>
      <c r="D11" s="6">
        <v>1</v>
      </c>
      <c r="E11" s="6">
        <v>4</v>
      </c>
      <c r="F11" s="6" t="s">
        <v>412</v>
      </c>
    </row>
    <row r="12" spans="1:6" ht="30" x14ac:dyDescent="0.25">
      <c r="B12" s="6" t="s">
        <v>146</v>
      </c>
      <c r="C12" s="6">
        <v>5</v>
      </c>
      <c r="D12" s="6">
        <v>3</v>
      </c>
      <c r="E12" s="6">
        <v>2</v>
      </c>
      <c r="F12" s="6" t="s">
        <v>413</v>
      </c>
    </row>
    <row r="13" spans="1:6" x14ac:dyDescent="0.25">
      <c r="B13" s="6" t="s">
        <v>127</v>
      </c>
      <c r="C13" s="6">
        <v>5</v>
      </c>
      <c r="D13" s="6">
        <v>2</v>
      </c>
      <c r="E13" s="6">
        <v>3</v>
      </c>
      <c r="F13" s="6" t="s">
        <v>414</v>
      </c>
    </row>
    <row r="14" spans="1:6" x14ac:dyDescent="0.25">
      <c r="B14" s="6" t="s">
        <v>97</v>
      </c>
      <c r="C14" s="6">
        <v>5</v>
      </c>
      <c r="D14" s="6">
        <v>3</v>
      </c>
      <c r="E14" s="6">
        <v>2</v>
      </c>
      <c r="F14" s="6" t="s">
        <v>415</v>
      </c>
    </row>
    <row r="15" spans="1:6" ht="30" x14ac:dyDescent="0.25">
      <c r="B15" s="6" t="s">
        <v>416</v>
      </c>
      <c r="C15" s="6">
        <v>5</v>
      </c>
      <c r="D15" s="6">
        <v>2</v>
      </c>
      <c r="E15" s="6">
        <v>3</v>
      </c>
      <c r="F15" s="6" t="s">
        <v>417</v>
      </c>
    </row>
    <row r="17" spans="2:6" ht="18" x14ac:dyDescent="0.25">
      <c r="B17" s="7" t="s">
        <v>418</v>
      </c>
    </row>
    <row r="19" spans="2:6" x14ac:dyDescent="0.25">
      <c r="B19" s="5" t="s">
        <v>404</v>
      </c>
      <c r="C19" s="5" t="s">
        <v>406</v>
      </c>
      <c r="D19" s="5" t="s">
        <v>405</v>
      </c>
      <c r="E19" s="5" t="s">
        <v>407</v>
      </c>
      <c r="F19" s="5" t="s">
        <v>408</v>
      </c>
    </row>
    <row r="20" spans="2:6" x14ac:dyDescent="0.25">
      <c r="B20" s="6" t="s">
        <v>51</v>
      </c>
      <c r="C20" s="6">
        <v>5</v>
      </c>
      <c r="D20" s="6">
        <v>2</v>
      </c>
      <c r="E20" s="6">
        <v>3</v>
      </c>
      <c r="F20" s="6" t="s">
        <v>419</v>
      </c>
    </row>
    <row r="21" spans="2:6" x14ac:dyDescent="0.25">
      <c r="B21" s="6" t="s">
        <v>49</v>
      </c>
      <c r="C21" s="6">
        <v>5</v>
      </c>
      <c r="D21" s="6">
        <v>2</v>
      </c>
      <c r="E21" s="6">
        <v>3</v>
      </c>
      <c r="F21" s="6" t="s">
        <v>420</v>
      </c>
    </row>
    <row r="22" spans="2:6" x14ac:dyDescent="0.25">
      <c r="B22" s="6" t="s">
        <v>58</v>
      </c>
      <c r="C22" s="6">
        <v>5</v>
      </c>
      <c r="D22" s="6">
        <v>3</v>
      </c>
      <c r="E22" s="6">
        <v>2</v>
      </c>
      <c r="F22" s="6" t="s">
        <v>421</v>
      </c>
    </row>
    <row r="23" spans="2:6" x14ac:dyDescent="0.25">
      <c r="B23" s="6" t="s">
        <v>60</v>
      </c>
      <c r="C23" s="6">
        <v>5</v>
      </c>
      <c r="D23" s="6">
        <v>2</v>
      </c>
      <c r="E23" s="6">
        <v>3</v>
      </c>
      <c r="F23" s="6" t="s">
        <v>422</v>
      </c>
    </row>
    <row r="24" spans="2:6" x14ac:dyDescent="0.25">
      <c r="B24" s="6" t="s">
        <v>62</v>
      </c>
      <c r="C24" s="6">
        <v>5</v>
      </c>
      <c r="D24" s="6">
        <v>2</v>
      </c>
      <c r="E24" s="6">
        <v>3</v>
      </c>
      <c r="F24" s="6" t="s">
        <v>423</v>
      </c>
    </row>
    <row r="25" spans="2:6" x14ac:dyDescent="0.25">
      <c r="B25" s="6" t="s">
        <v>66</v>
      </c>
      <c r="C25" s="6">
        <v>5</v>
      </c>
      <c r="D25" s="6">
        <v>2</v>
      </c>
      <c r="E25" s="6">
        <v>3</v>
      </c>
      <c r="F25" s="6" t="s">
        <v>424</v>
      </c>
    </row>
    <row r="26" spans="2:6" x14ac:dyDescent="0.25">
      <c r="B26" s="6" t="s">
        <v>159</v>
      </c>
      <c r="C26" s="6">
        <v>5</v>
      </c>
      <c r="D26" s="6">
        <v>1</v>
      </c>
      <c r="E26" s="6">
        <v>4</v>
      </c>
      <c r="F26" s="6" t="s">
        <v>425</v>
      </c>
    </row>
    <row r="27" spans="2:6" x14ac:dyDescent="0.25">
      <c r="B27" s="6" t="s">
        <v>166</v>
      </c>
      <c r="C27" s="6">
        <v>5</v>
      </c>
      <c r="D27" s="6">
        <v>0</v>
      </c>
      <c r="E27" s="6">
        <v>5</v>
      </c>
      <c r="F27" s="6" t="s">
        <v>426</v>
      </c>
    </row>
    <row r="28" spans="2:6" x14ac:dyDescent="0.25">
      <c r="B28" s="6" t="s">
        <v>427</v>
      </c>
      <c r="C28" s="9">
        <v>45752</v>
      </c>
      <c r="D28" s="9">
        <v>45691</v>
      </c>
      <c r="E28" s="6">
        <f>2-3</f>
        <v>-1</v>
      </c>
      <c r="F28" s="6" t="s">
        <v>428</v>
      </c>
    </row>
    <row r="29" spans="2:6" x14ac:dyDescent="0.25">
      <c r="B29" s="6" t="s">
        <v>429</v>
      </c>
      <c r="C29" s="6">
        <v>5</v>
      </c>
      <c r="D29" s="6">
        <v>1</v>
      </c>
      <c r="E29" s="6">
        <v>4</v>
      </c>
      <c r="F29" s="6" t="s">
        <v>430</v>
      </c>
    </row>
    <row r="30" spans="2:6" x14ac:dyDescent="0.25">
      <c r="B30" s="6" t="s">
        <v>431</v>
      </c>
      <c r="C30" s="6">
        <v>5</v>
      </c>
      <c r="D30" s="6">
        <v>2</v>
      </c>
      <c r="E30" s="6">
        <v>3</v>
      </c>
      <c r="F30" s="6" t="s">
        <v>432</v>
      </c>
    </row>
    <row r="31" spans="2:6" ht="30" x14ac:dyDescent="0.25">
      <c r="B31" s="6" t="s">
        <v>433</v>
      </c>
      <c r="C31" s="6">
        <v>5</v>
      </c>
      <c r="D31" s="6">
        <v>1</v>
      </c>
      <c r="E31" s="6">
        <v>4</v>
      </c>
      <c r="F31" s="6" t="s">
        <v>434</v>
      </c>
    </row>
    <row r="33" spans="2:5" ht="18" x14ac:dyDescent="0.25">
      <c r="B33" s="7" t="s">
        <v>435</v>
      </c>
    </row>
    <row r="35" spans="2:5" x14ac:dyDescent="0.25">
      <c r="B35" s="5" t="s">
        <v>404</v>
      </c>
      <c r="C35" s="5" t="s">
        <v>405</v>
      </c>
      <c r="D35" s="5" t="s">
        <v>406</v>
      </c>
      <c r="E35" s="5" t="s">
        <v>436</v>
      </c>
    </row>
    <row r="36" spans="2:5" ht="30" x14ac:dyDescent="0.25">
      <c r="B36" s="6" t="s">
        <v>45</v>
      </c>
      <c r="C36" s="6">
        <v>4</v>
      </c>
      <c r="D36" s="6">
        <v>3</v>
      </c>
      <c r="E36" s="6" t="s">
        <v>437</v>
      </c>
    </row>
    <row r="37" spans="2:5" ht="30" x14ac:dyDescent="0.25">
      <c r="B37" s="6" t="s">
        <v>71</v>
      </c>
      <c r="C37" s="6">
        <v>4</v>
      </c>
      <c r="D37" s="6">
        <v>4</v>
      </c>
      <c r="E37" s="6" t="s">
        <v>438</v>
      </c>
    </row>
    <row r="38" spans="2:5" ht="30" x14ac:dyDescent="0.25">
      <c r="B38" s="6" t="s">
        <v>55</v>
      </c>
      <c r="C38" s="6">
        <v>4</v>
      </c>
      <c r="D38" s="6">
        <v>3</v>
      </c>
      <c r="E38" s="6" t="s">
        <v>439</v>
      </c>
    </row>
    <row r="39" spans="2:5" x14ac:dyDescent="0.25">
      <c r="B39" s="6" t="s">
        <v>188</v>
      </c>
      <c r="C39" s="6">
        <v>4</v>
      </c>
      <c r="D39" s="6">
        <v>5</v>
      </c>
      <c r="E39" s="6" t="s">
        <v>440</v>
      </c>
    </row>
    <row r="40" spans="2:5" ht="45" x14ac:dyDescent="0.25">
      <c r="B40" s="6" t="s">
        <v>441</v>
      </c>
      <c r="C40" s="9">
        <v>45720</v>
      </c>
      <c r="D40" s="9">
        <v>45720</v>
      </c>
      <c r="E40" s="6" t="s">
        <v>442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AI Capability</vt:lpstr>
      <vt:lpstr>Human Capability</vt:lpstr>
      <vt:lpstr>Comparison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Dean</dc:creator>
  <cp:lastModifiedBy>Patrick Dean</cp:lastModifiedBy>
  <dcterms:created xsi:type="dcterms:W3CDTF">2025-12-22T16:00:42Z</dcterms:created>
  <dcterms:modified xsi:type="dcterms:W3CDTF">2025-12-22T18:02:45Z</dcterms:modified>
</cp:coreProperties>
</file>